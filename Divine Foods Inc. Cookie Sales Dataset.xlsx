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hidePivotFieldList="1" defaultThemeVersion="166925"/>
  <mc:AlternateContent xmlns:mc="http://schemas.openxmlformats.org/markup-compatibility/2006">
    <mc:Choice Requires="x15">
      <x15ac:absPath xmlns:x15ac="http://schemas.microsoft.com/office/spreadsheetml/2010/11/ac" url="/Users/esraertas/Desktop/PROJECT/"/>
    </mc:Choice>
  </mc:AlternateContent>
  <xr:revisionPtr revIDLastSave="0" documentId="13_ncr:1_{748E0AA4-8307-6E4A-BD89-E7ABB7A63853}" xr6:coauthVersionLast="47" xr6:coauthVersionMax="47" xr10:uidLastSave="{00000000-0000-0000-0000-000000000000}"/>
  <bookViews>
    <workbookView xWindow="0" yWindow="500" windowWidth="28800" windowHeight="16100" activeTab="5" xr2:uid="{7A994068-510A-4DF2-AA1B-BA04568771FE}"/>
  </bookViews>
  <sheets>
    <sheet name="Sales_Original" sheetId="1" r:id="rId1"/>
    <sheet name="Sales" sheetId="3" r:id="rId2"/>
    <sheet name="Notes on errors" sheetId="4" r:id="rId3"/>
    <sheet name="Hypothesis" sheetId="5" r:id="rId4"/>
    <sheet name="Profit Per Customer Type" sheetId="11" r:id="rId5"/>
    <sheet name="Pivot Table Analysis" sheetId="6" r:id="rId6"/>
    <sheet name="Descriptive Analysis" sheetId="15" r:id="rId7"/>
    <sheet name="Correlation Analysis" sheetId="16" r:id="rId8"/>
    <sheet name="Key Findings" sheetId="17" r:id="rId9"/>
    <sheet name="Objectives" sheetId="2" r:id="rId10"/>
  </sheets>
  <definedNames>
    <definedName name="_xlnm._FilterDatabase" localSheetId="1" hidden="1">Sales!$A$1:$R$135</definedName>
    <definedName name="NativeTimeline_Date">#N/A</definedName>
    <definedName name="Slicer_CookieName">#N/A</definedName>
  </definedNames>
  <calcPr calcId="191028"/>
  <pivotCaches>
    <pivotCache cacheId="36" r:id="rId11"/>
    <pivotCache cacheId="37"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2" i="3"/>
  <c r="I3" i="3"/>
  <c r="K3" i="3" s="1"/>
  <c r="I4" i="3"/>
  <c r="K4" i="3" s="1"/>
  <c r="I5" i="3"/>
  <c r="I6" i="3"/>
  <c r="I7" i="3"/>
  <c r="K7" i="3" s="1"/>
  <c r="I8" i="3"/>
  <c r="K8" i="3" s="1"/>
  <c r="I9" i="3"/>
  <c r="I10" i="3"/>
  <c r="I11" i="3"/>
  <c r="K11" i="3" s="1"/>
  <c r="I12" i="3"/>
  <c r="K12" i="3" s="1"/>
  <c r="I13" i="3"/>
  <c r="I14" i="3"/>
  <c r="I15" i="3"/>
  <c r="K15" i="3" s="1"/>
  <c r="I16" i="3"/>
  <c r="K16" i="3" s="1"/>
  <c r="I17" i="3"/>
  <c r="I18" i="3"/>
  <c r="I19" i="3"/>
  <c r="K19" i="3" s="1"/>
  <c r="I20" i="3"/>
  <c r="K20" i="3" s="1"/>
  <c r="I21" i="3"/>
  <c r="I22" i="3"/>
  <c r="I23" i="3"/>
  <c r="K23" i="3" s="1"/>
  <c r="I24" i="3"/>
  <c r="K24" i="3" s="1"/>
  <c r="I25" i="3"/>
  <c r="I26" i="3"/>
  <c r="I27" i="3"/>
  <c r="K27" i="3" s="1"/>
  <c r="I28" i="3"/>
  <c r="K28" i="3" s="1"/>
  <c r="I29" i="3"/>
  <c r="I30" i="3"/>
  <c r="I31" i="3"/>
  <c r="K31" i="3" s="1"/>
  <c r="I32" i="3"/>
  <c r="K32" i="3" s="1"/>
  <c r="I33" i="3"/>
  <c r="I34" i="3"/>
  <c r="I35" i="3"/>
  <c r="K35" i="3" s="1"/>
  <c r="I36" i="3"/>
  <c r="K36" i="3" s="1"/>
  <c r="I37" i="3"/>
  <c r="I38" i="3"/>
  <c r="I39" i="3"/>
  <c r="K39" i="3" s="1"/>
  <c r="I40" i="3"/>
  <c r="K40" i="3" s="1"/>
  <c r="I41" i="3"/>
  <c r="I42" i="3"/>
  <c r="I43" i="3"/>
  <c r="K43" i="3" s="1"/>
  <c r="I44" i="3"/>
  <c r="K44" i="3" s="1"/>
  <c r="I45" i="3"/>
  <c r="I46" i="3"/>
  <c r="I47" i="3"/>
  <c r="K47" i="3" s="1"/>
  <c r="I48" i="3"/>
  <c r="K48" i="3" s="1"/>
  <c r="I49" i="3"/>
  <c r="I50" i="3"/>
  <c r="I51" i="3"/>
  <c r="K51" i="3" s="1"/>
  <c r="I52" i="3"/>
  <c r="K52" i="3" s="1"/>
  <c r="I53" i="3"/>
  <c r="I54" i="3"/>
  <c r="I55" i="3"/>
  <c r="K55" i="3" s="1"/>
  <c r="I56" i="3"/>
  <c r="K56" i="3" s="1"/>
  <c r="I57" i="3"/>
  <c r="I58" i="3"/>
  <c r="I59" i="3"/>
  <c r="K59" i="3" s="1"/>
  <c r="I60" i="3"/>
  <c r="K60" i="3" s="1"/>
  <c r="I61" i="3"/>
  <c r="I62" i="3"/>
  <c r="I63" i="3"/>
  <c r="K63" i="3" s="1"/>
  <c r="I64" i="3"/>
  <c r="K64" i="3" s="1"/>
  <c r="I65" i="3"/>
  <c r="I66" i="3"/>
  <c r="I67" i="3"/>
  <c r="K67" i="3" s="1"/>
  <c r="I68" i="3"/>
  <c r="K68" i="3" s="1"/>
  <c r="I69" i="3"/>
  <c r="I70" i="3"/>
  <c r="I71" i="3"/>
  <c r="K71" i="3" s="1"/>
  <c r="I72" i="3"/>
  <c r="K72" i="3" s="1"/>
  <c r="I73" i="3"/>
  <c r="I74" i="3"/>
  <c r="I75" i="3"/>
  <c r="K75" i="3" s="1"/>
  <c r="I76" i="3"/>
  <c r="K76" i="3" s="1"/>
  <c r="I77" i="3"/>
  <c r="I78" i="3"/>
  <c r="I79" i="3"/>
  <c r="K79" i="3" s="1"/>
  <c r="I80" i="3"/>
  <c r="K80" i="3" s="1"/>
  <c r="I81" i="3"/>
  <c r="I82" i="3"/>
  <c r="I83" i="3"/>
  <c r="K83" i="3" s="1"/>
  <c r="I84" i="3"/>
  <c r="K84" i="3" s="1"/>
  <c r="I85" i="3"/>
  <c r="I86" i="3"/>
  <c r="I87" i="3"/>
  <c r="K87" i="3" s="1"/>
  <c r="I88" i="3"/>
  <c r="K88" i="3" s="1"/>
  <c r="I89" i="3"/>
  <c r="I90" i="3"/>
  <c r="I91" i="3"/>
  <c r="K91" i="3" s="1"/>
  <c r="I92" i="3"/>
  <c r="K92" i="3" s="1"/>
  <c r="I93" i="3"/>
  <c r="I94" i="3"/>
  <c r="I95" i="3"/>
  <c r="K95" i="3" s="1"/>
  <c r="I96" i="3"/>
  <c r="K96" i="3" s="1"/>
  <c r="I97" i="3"/>
  <c r="I98" i="3"/>
  <c r="I99" i="3"/>
  <c r="K99" i="3" s="1"/>
  <c r="I100" i="3"/>
  <c r="K100" i="3" s="1"/>
  <c r="I101" i="3"/>
  <c r="I102" i="3"/>
  <c r="I103" i="3"/>
  <c r="K103" i="3" s="1"/>
  <c r="I104" i="3"/>
  <c r="K104" i="3" s="1"/>
  <c r="I105" i="3"/>
  <c r="I106" i="3"/>
  <c r="I107" i="3"/>
  <c r="K107" i="3" s="1"/>
  <c r="I108" i="3"/>
  <c r="K108" i="3" s="1"/>
  <c r="I109" i="3"/>
  <c r="I110" i="3"/>
  <c r="I111" i="3"/>
  <c r="K111" i="3" s="1"/>
  <c r="I112" i="3"/>
  <c r="K112" i="3" s="1"/>
  <c r="I113" i="3"/>
  <c r="I114" i="3"/>
  <c r="I115" i="3"/>
  <c r="K115" i="3" s="1"/>
  <c r="I116" i="3"/>
  <c r="K116" i="3" s="1"/>
  <c r="I117" i="3"/>
  <c r="I118" i="3"/>
  <c r="I119" i="3"/>
  <c r="K119" i="3" s="1"/>
  <c r="I120" i="3"/>
  <c r="K120" i="3" s="1"/>
  <c r="I121" i="3"/>
  <c r="I122" i="3"/>
  <c r="I123" i="3"/>
  <c r="K123" i="3" s="1"/>
  <c r="I124" i="3"/>
  <c r="K124" i="3" s="1"/>
  <c r="I125" i="3"/>
  <c r="I126" i="3"/>
  <c r="I127" i="3"/>
  <c r="K127" i="3" s="1"/>
  <c r="I128" i="3"/>
  <c r="K128" i="3" s="1"/>
  <c r="I129" i="3"/>
  <c r="I130" i="3"/>
  <c r="I131" i="3"/>
  <c r="K131" i="3" s="1"/>
  <c r="I132" i="3"/>
  <c r="K132" i="3" s="1"/>
  <c r="I133" i="3"/>
  <c r="I134" i="3"/>
  <c r="I135" i="3"/>
  <c r="K135" i="3" s="1"/>
  <c r="I2" i="3"/>
  <c r="K2" i="3" s="1"/>
  <c r="K134" i="3" l="1"/>
  <c r="K130" i="3"/>
  <c r="K126" i="3"/>
  <c r="K122" i="3"/>
  <c r="K118" i="3"/>
  <c r="K114" i="3"/>
  <c r="K110" i="3"/>
  <c r="K106" i="3"/>
  <c r="K102" i="3"/>
  <c r="K98" i="3"/>
  <c r="K94" i="3"/>
  <c r="K90" i="3"/>
  <c r="K86" i="3"/>
  <c r="K82" i="3"/>
  <c r="K78" i="3"/>
  <c r="K74" i="3"/>
  <c r="K70" i="3"/>
  <c r="K66" i="3"/>
  <c r="K62" i="3"/>
  <c r="K58" i="3"/>
  <c r="K54" i="3"/>
  <c r="K50" i="3"/>
  <c r="K46" i="3"/>
  <c r="K42" i="3"/>
  <c r="K38" i="3"/>
  <c r="K34" i="3"/>
  <c r="K30" i="3"/>
  <c r="K26" i="3"/>
  <c r="K22" i="3"/>
  <c r="K18" i="3"/>
  <c r="K14" i="3"/>
  <c r="K10" i="3"/>
  <c r="K6" i="3"/>
  <c r="K133" i="3"/>
  <c r="K129" i="3"/>
  <c r="K125" i="3"/>
  <c r="K121" i="3"/>
  <c r="K117" i="3"/>
  <c r="K113" i="3"/>
  <c r="K109" i="3"/>
  <c r="K105" i="3"/>
  <c r="K101" i="3"/>
  <c r="K97" i="3"/>
  <c r="K93" i="3"/>
  <c r="K89" i="3"/>
  <c r="K85" i="3"/>
  <c r="K81" i="3"/>
  <c r="K77" i="3"/>
  <c r="K73" i="3"/>
  <c r="K69" i="3"/>
  <c r="K65" i="3"/>
  <c r="K61" i="3"/>
  <c r="K57" i="3"/>
  <c r="K53" i="3"/>
  <c r="K49" i="3"/>
  <c r="K45" i="3"/>
  <c r="K41" i="3"/>
  <c r="K37" i="3"/>
  <c r="K33" i="3"/>
  <c r="K29" i="3"/>
  <c r="K25" i="3"/>
  <c r="K21" i="3"/>
  <c r="K17" i="3"/>
  <c r="K13" i="3"/>
  <c r="K9" i="3"/>
  <c r="K5" i="3"/>
</calcChain>
</file>

<file path=xl/sharedStrings.xml><?xml version="1.0" encoding="utf-8"?>
<sst xmlns="http://schemas.openxmlformats.org/spreadsheetml/2006/main" count="2293" uniqueCount="103">
  <si>
    <t>OrderID</t>
  </si>
  <si>
    <t>Date</t>
  </si>
  <si>
    <t>OrderTotal</t>
  </si>
  <si>
    <t>CookieID</t>
  </si>
  <si>
    <t>CookieName</t>
  </si>
  <si>
    <t>Price Per Cookie</t>
  </si>
  <si>
    <t>CostPerCookie</t>
  </si>
  <si>
    <t>Quantity Sold</t>
  </si>
  <si>
    <t>BuyerID</t>
  </si>
  <si>
    <t>Buyer Name</t>
  </si>
  <si>
    <t>Company</t>
  </si>
  <si>
    <t>Phone</t>
  </si>
  <si>
    <t>Address</t>
  </si>
  <si>
    <t>City</t>
  </si>
  <si>
    <t>State</t>
  </si>
  <si>
    <t>Zip</t>
  </si>
  <si>
    <t>Country</t>
  </si>
  <si>
    <t>Notes</t>
  </si>
  <si>
    <t>Chocolate Chip</t>
  </si>
  <si>
    <t>Yasmin Patel</t>
  </si>
  <si>
    <t>Park &amp; Shop Convenience Stores</t>
  </si>
  <si>
    <t>251-655-2909</t>
  </si>
  <si>
    <t>2217 Lonely Oak Drive</t>
  </si>
  <si>
    <t>Mobile</t>
  </si>
  <si>
    <t>AL</t>
  </si>
  <si>
    <t>36602</t>
  </si>
  <si>
    <t>United States</t>
  </si>
  <si>
    <t>New customer, make sure to please them! Very frugal, so reinforce how delicious AND inexpensive our cookies are.</t>
  </si>
  <si>
    <t>Fortune Cookie</t>
  </si>
  <si>
    <t>Sugar</t>
  </si>
  <si>
    <t>Oatmeal Raisin</t>
  </si>
  <si>
    <t>Snickerdoodle</t>
  </si>
  <si>
    <t>White Chocolate Macadamia Nut</t>
  </si>
  <si>
    <t>Mia Balm</t>
  </si>
  <si>
    <t>ABC Groceries</t>
  </si>
  <si>
    <t>801-583-8695</t>
  </si>
  <si>
    <t>3215 Tori Lane</t>
  </si>
  <si>
    <t>Salt Lake City</t>
  </si>
  <si>
    <t>UT</t>
  </si>
  <si>
    <t>84113</t>
  </si>
  <si>
    <t>Friendly but a little old school. Talks way too much, set a time limit on calls.</t>
  </si>
  <si>
    <t>Sebastian Philppe</t>
  </si>
  <si>
    <t>Tres Delicious</t>
  </si>
  <si>
    <t>999-999-9999</t>
  </si>
  <si>
    <t>123 Main Street</t>
  </si>
  <si>
    <t>Seattle</t>
  </si>
  <si>
    <t>WA</t>
  </si>
  <si>
    <t>98112</t>
  </si>
  <si>
    <t>High maintenance, not sure if it's worth having them as a customer, but don't tell them that!</t>
  </si>
  <si>
    <t>Tamara Hyde</t>
  </si>
  <si>
    <t>Wholesome Foods</t>
  </si>
  <si>
    <t>347-789-7688</t>
  </si>
  <si>
    <t>1521 Redbud Drive</t>
  </si>
  <si>
    <t>Huntington</t>
  </si>
  <si>
    <t>NY</t>
  </si>
  <si>
    <t>11743</t>
  </si>
  <si>
    <t>CEO has three kids, first one is Charles, don't know the rest. CEO cares about Charles the most, so all good.</t>
  </si>
  <si>
    <t>Jose Enrie</t>
  </si>
  <si>
    <t>ACME Bites</t>
  </si>
  <si>
    <t>920-419-6270</t>
  </si>
  <si>
    <t>4660 Sycamore Lake Road</t>
  </si>
  <si>
    <t>Green Bay</t>
  </si>
  <si>
    <t>WI</t>
  </si>
  <si>
    <t>One of our best customers! Likes to talk about roses. Make sure to read all about roses on Wikipedia before meeting.</t>
  </si>
  <si>
    <t>54303</t>
  </si>
  <si>
    <t>Shugar</t>
  </si>
  <si>
    <t>Sales Price</t>
  </si>
  <si>
    <t>Cost</t>
  </si>
  <si>
    <t>Profit</t>
  </si>
  <si>
    <t>Customer Code</t>
  </si>
  <si>
    <t>Errors</t>
  </si>
  <si>
    <t>Date column was not in correct data type ,it is changed to date data type</t>
  </si>
  <si>
    <t>Zip column was stored in text but it has to be integer so all values are converted to number</t>
  </si>
  <si>
    <t>32.,38. and 61. rows were empty on every column that's why they are removed</t>
  </si>
  <si>
    <t>Cookie Ids for Order Id 24,31,40,47,49 were missing ,they are filled manually according to the cookie id in other rows which has same cookie id</t>
  </si>
  <si>
    <t xml:space="preserve">Buyer Ids 1  and 2 were missing ,they are filled manually according to the other rows with the same names </t>
  </si>
  <si>
    <t>Buyer Id 5's City was missing and it is filled with "Mobile" as in the other rows of this id</t>
  </si>
  <si>
    <t>Zip code for Green Bay city and Mobile city was missing ,filled manually</t>
  </si>
  <si>
    <t>Sugar' Cookie name was written wrong in CookieName column and it is fixed</t>
  </si>
  <si>
    <t>Price Per Cookie and Cost Per Cookie columns are formatted as currency</t>
  </si>
  <si>
    <t>Customer Notes</t>
  </si>
  <si>
    <t>Sum of Profit</t>
  </si>
  <si>
    <t>Grand Total</t>
  </si>
  <si>
    <t>Cookie Name</t>
  </si>
  <si>
    <t>Total Profit</t>
  </si>
  <si>
    <t>Total Sales Price</t>
  </si>
  <si>
    <t>Total Cost</t>
  </si>
  <si>
    <t>Sum of Sales Price</t>
  </si>
  <si>
    <t xml:space="preserve"> Total</t>
  </si>
  <si>
    <t>Mean</t>
  </si>
  <si>
    <t>Standard Error</t>
  </si>
  <si>
    <t>Median</t>
  </si>
  <si>
    <t>Mode</t>
  </si>
  <si>
    <t>Standard Deviation</t>
  </si>
  <si>
    <t>Sample Variance</t>
  </si>
  <si>
    <t>Kurtosis</t>
  </si>
  <si>
    <t>Skewness</t>
  </si>
  <si>
    <t>Range</t>
  </si>
  <si>
    <t>Minimum</t>
  </si>
  <si>
    <t>Maximum</t>
  </si>
  <si>
    <t>Sum</t>
  </si>
  <si>
    <t>Count</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</si>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</sst>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2"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sz val="14"/>
      <color theme="1"/>
      <name val="Calibri"/>
      <family val="2"/>
      <scheme val="minor"/>
    </font>
    <font>
      <b/>
      <sz val="14"/>
      <color theme="1"/>
      <name val="Calibri"/>
      <family val="2"/>
      <scheme val="minor"/>
    </font>
    <font>
      <sz val="13"/>
      <color theme="1"/>
      <name val="Calibri"/>
      <family val="2"/>
      <scheme val="minor"/>
    </font>
    <font>
      <i/>
      <sz val="11"/>
      <color theme="1"/>
      <name val="Calibri"/>
      <family val="2"/>
      <scheme val="minor"/>
    </font>
    <font>
      <sz val="16"/>
      <color theme="1"/>
      <name val="Calibri"/>
      <family val="2"/>
      <scheme val="minor"/>
    </font>
    <font>
      <b/>
      <i/>
      <sz val="14"/>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47">
    <xf numFmtId="0" fontId="0" fillId="0" borderId="0" xfId="0"/>
    <xf numFmtId="0" fontId="4" fillId="0" borderId="0" xfId="0" applyFont="1"/>
    <xf numFmtId="14" fontId="4" fillId="0" borderId="0" xfId="0" applyNumberFormat="1" applyFont="1"/>
    <xf numFmtId="14" fontId="0" fillId="0" borderId="0" xfId="0" applyNumberFormat="1"/>
    <xf numFmtId="164" fontId="0" fillId="0" borderId="0" xfId="0" applyNumberFormat="1"/>
    <xf numFmtId="164" fontId="4" fillId="2" borderId="0" xfId="0" applyNumberFormat="1" applyFont="1" applyFill="1"/>
    <xf numFmtId="44" fontId="4" fillId="0" borderId="0" xfId="1" applyFont="1"/>
    <xf numFmtId="44" fontId="0" fillId="0" borderId="0" xfId="1" applyFont="1"/>
    <xf numFmtId="0" fontId="0" fillId="0" borderId="0" xfId="0" quotePrefix="1"/>
    <xf numFmtId="0" fontId="4" fillId="0" borderId="0" xfId="1" applyNumberFormat="1" applyFont="1"/>
    <xf numFmtId="0" fontId="0" fillId="0" borderId="0" xfId="1" applyNumberFormat="1" applyFont="1"/>
    <xf numFmtId="0" fontId="5" fillId="3" borderId="0" xfId="0" applyFont="1" applyFill="1"/>
    <xf numFmtId="0" fontId="0" fillId="0" borderId="0" xfId="0" applyAlignment="1">
      <alignment horizontal="left"/>
    </xf>
    <xf numFmtId="44" fontId="0" fillId="0" borderId="0" xfId="0" applyNumberFormat="1"/>
    <xf numFmtId="0" fontId="6" fillId="0" borderId="0" xfId="0" applyFont="1"/>
    <xf numFmtId="0" fontId="8" fillId="0" borderId="0" xfId="0" applyFont="1" applyAlignment="1">
      <alignment horizontal="center"/>
    </xf>
    <xf numFmtId="0" fontId="8" fillId="0" borderId="0" xfId="0" applyFont="1" applyAlignment="1">
      <alignment horizontal="left"/>
    </xf>
    <xf numFmtId="44" fontId="8" fillId="0" borderId="0" xfId="0" applyNumberFormat="1" applyFont="1"/>
    <xf numFmtId="0" fontId="8" fillId="0" borderId="0" xfId="0" applyFont="1"/>
    <xf numFmtId="44" fontId="4" fillId="0" borderId="0" xfId="0" applyNumberFormat="1" applyFont="1" applyAlignment="1">
      <alignment horizontal="center"/>
    </xf>
    <xf numFmtId="0" fontId="4" fillId="0" borderId="0" xfId="0" applyFont="1" applyAlignment="1">
      <alignment horizontal="center"/>
    </xf>
    <xf numFmtId="0" fontId="10" fillId="0" borderId="0" xfId="0" pivotButton="1" applyFont="1"/>
    <xf numFmtId="0" fontId="10" fillId="0" borderId="0" xfId="0" applyFont="1"/>
    <xf numFmtId="0" fontId="10" fillId="0" borderId="0" xfId="0" applyFont="1" applyAlignment="1">
      <alignment horizontal="left"/>
    </xf>
    <xf numFmtId="44" fontId="10" fillId="0" borderId="0" xfId="0" applyNumberFormat="1" applyFont="1"/>
    <xf numFmtId="0" fontId="7" fillId="0" borderId="0" xfId="0" applyFont="1"/>
    <xf numFmtId="0" fontId="0" fillId="0" borderId="0" xfId="0" applyAlignment="1">
      <alignment horizontal="center"/>
    </xf>
    <xf numFmtId="0" fontId="0" fillId="0" borderId="0" xfId="0" pivotButton="1" applyAlignment="1">
      <alignment horizontal="center"/>
    </xf>
    <xf numFmtId="0" fontId="8" fillId="0" borderId="0" xfId="0" pivotButton="1" applyFont="1" applyAlignment="1">
      <alignment horizontal="center"/>
    </xf>
    <xf numFmtId="0" fontId="2" fillId="0" borderId="0" xfId="0" applyFont="1" applyAlignment="1">
      <alignment horizontal="left"/>
    </xf>
    <xf numFmtId="44" fontId="2" fillId="0" borderId="0" xfId="0" applyNumberFormat="1" applyFont="1"/>
    <xf numFmtId="0" fontId="2" fillId="0" borderId="0" xfId="0" pivotButton="1" applyFont="1"/>
    <xf numFmtId="0" fontId="2" fillId="0" borderId="0" xfId="0" applyFont="1"/>
    <xf numFmtId="0" fontId="0" fillId="0" borderId="1" xfId="0" applyBorder="1"/>
    <xf numFmtId="0" fontId="9" fillId="0" borderId="2" xfId="0" applyFont="1" applyBorder="1" applyAlignment="1">
      <alignment horizontal="center"/>
    </xf>
    <xf numFmtId="0" fontId="6" fillId="0" borderId="1" xfId="0" applyFont="1" applyBorder="1"/>
    <xf numFmtId="44" fontId="6" fillId="0" borderId="0" xfId="1" applyFont="1" applyFill="1" applyBorder="1" applyAlignment="1"/>
    <xf numFmtId="0" fontId="11" fillId="3" borderId="2" xfId="0" applyFont="1" applyFill="1" applyBorder="1" applyAlignment="1">
      <alignment horizontal="center"/>
    </xf>
    <xf numFmtId="0" fontId="6" fillId="0" borderId="3" xfId="0" applyFont="1" applyBorder="1"/>
    <xf numFmtId="44" fontId="6" fillId="0" borderId="3" xfId="1" applyFont="1" applyFill="1" applyBorder="1" applyAlignment="1"/>
    <xf numFmtId="0" fontId="9" fillId="0" borderId="0" xfId="0" applyFont="1" applyAlignment="1">
      <alignment horizontal="center"/>
    </xf>
    <xf numFmtId="0" fontId="1" fillId="0" borderId="0" xfId="0" pivotButton="1" applyFont="1" applyAlignment="1">
      <alignment horizontal="center"/>
    </xf>
    <xf numFmtId="0" fontId="1" fillId="0" borderId="0" xfId="0" applyFont="1" applyAlignment="1">
      <alignment horizontal="center"/>
    </xf>
    <xf numFmtId="0" fontId="1" fillId="0" borderId="0" xfId="0" applyFont="1" applyAlignment="1">
      <alignment horizontal="left"/>
    </xf>
    <xf numFmtId="44" fontId="1" fillId="0" borderId="0" xfId="0" applyNumberFormat="1" applyFont="1"/>
    <xf numFmtId="0" fontId="1" fillId="0" borderId="0" xfId="0" applyFont="1"/>
    <xf numFmtId="0" fontId="11" fillId="3" borderId="3" xfId="0" applyFont="1" applyFill="1" applyBorder="1" applyAlignment="1">
      <alignment horizontal="center"/>
    </xf>
  </cellXfs>
  <cellStyles count="2">
    <cellStyle name="Currency" xfId="1" builtinId="4"/>
    <cellStyle name="Normal" xfId="0" builtinId="0"/>
  </cellStyles>
  <dxfs count="60">
    <dxf>
      <numFmt numFmtId="34" formatCode="_(&quot;£&quot;* #,##0.00_);_(&quot;£&quot;* \(#,##0.00\);_(&quot;£&quot;* &quot;-&quot;??_);_(@_)"/>
    </dxf>
    <dxf>
      <alignment horizontal="center"/>
    </dxf>
    <dxf>
      <font>
        <sz val="13"/>
      </font>
    </dxf>
    <dxf>
      <font>
        <sz val="13"/>
      </font>
    </dxf>
    <dxf>
      <font>
        <sz val="13"/>
      </font>
    </dxf>
    <dxf>
      <font>
        <sz val="13"/>
      </font>
    </dxf>
    <dxf>
      <font>
        <sz val="13"/>
      </font>
    </dxf>
    <dxf>
      <font>
        <sz val="13"/>
      </font>
    </dxf>
    <dxf>
      <alignment horizontal="center"/>
    </dxf>
    <dxf>
      <alignment horizontal="center"/>
    </dxf>
    <dxf>
      <numFmt numFmtId="34" formatCode="_(&quot;£&quot;* #,##0.00_);_(&quot;£&quot;* \(#,##0.00\);_(&quot;£&quot;* &quot;-&quot;??_);_(@_)"/>
    </dxf>
    <dxf>
      <alignment horizontal="center"/>
    </dxf>
    <dxf>
      <font>
        <sz val="13"/>
      </font>
    </dxf>
    <dxf>
      <font>
        <sz val="13"/>
      </font>
    </dxf>
    <dxf>
      <font>
        <sz val="13"/>
      </font>
    </dxf>
    <dxf>
      <font>
        <sz val="13"/>
      </font>
    </dxf>
    <dxf>
      <font>
        <sz val="13"/>
      </font>
    </dxf>
    <dxf>
      <font>
        <sz val="13"/>
      </font>
    </dxf>
    <dxf>
      <alignment horizontal="center"/>
    </dxf>
    <dxf>
      <alignment horizontal="center"/>
    </dxf>
    <dxf>
      <alignment horizontal="center"/>
    </dxf>
    <dxf>
      <alignment horizontal="center"/>
    </dxf>
    <dxf>
      <font>
        <sz val="13"/>
      </font>
    </dxf>
    <dxf>
      <font>
        <sz val="13"/>
      </font>
    </dxf>
    <dxf>
      <font>
        <sz val="13"/>
      </font>
    </dxf>
    <dxf>
      <font>
        <sz val="13"/>
      </font>
    </dxf>
    <dxf>
      <font>
        <sz val="13"/>
      </font>
    </dxf>
    <dxf>
      <font>
        <sz val="13"/>
      </font>
    </dxf>
    <dxf>
      <alignment horizontal="center"/>
    </dxf>
    <dxf>
      <numFmt numFmtId="34" formatCode="_(&quot;£&quot;* #,##0.00_);_(&quot;£&quot;* \(#,##0.00\);_(&quot;£&quot;* &quot;-&quot;??_);_(@_)"/>
    </dxf>
    <dxf>
      <numFmt numFmtId="0" formatCode="General"/>
    </dxf>
    <dxf>
      <font>
        <sz val="12"/>
      </font>
    </dxf>
    <dxf>
      <font>
        <sz val="12"/>
      </font>
    </dxf>
    <dxf>
      <font>
        <sz val="12"/>
      </font>
    </dxf>
    <dxf>
      <font>
        <sz val="12"/>
      </font>
    </dxf>
    <dxf>
      <font>
        <sz val="12"/>
      </font>
    </dxf>
    <dxf>
      <font>
        <sz val="12"/>
      </font>
    </dxf>
    <dxf>
      <alignment horizontal="center"/>
    </dxf>
    <dxf>
      <alignment horizontal="center"/>
    </dxf>
    <dxf>
      <numFmt numFmtId="34" formatCode="_(&quot;£&quot;* #,##0.00_);_(&quot;£&quot;* \(#,##0.00\);_(&quot;£&quot;* &quot;-&quot;??_);_(@_)"/>
    </dxf>
    <dxf>
      <font>
        <sz val="12"/>
      </font>
    </dxf>
    <dxf>
      <font>
        <sz val="12"/>
      </font>
    </dxf>
    <dxf>
      <font>
        <sz val="12"/>
      </font>
    </dxf>
    <dxf>
      <font>
        <sz val="12"/>
      </font>
    </dxf>
    <dxf>
      <font>
        <sz val="12"/>
      </font>
    </dxf>
    <dxf>
      <numFmt numFmtId="34" formatCode="_(&quot;£&quot;* #,##0.00_);_(&quot;£&quot;* \(#,##0.00\);_(&quot;£&quot;* &quot;-&quot;??_);_(@_)"/>
    </dxf>
    <dxf>
      <alignment horizontal="center"/>
    </dxf>
    <dxf>
      <alignment horizontal="center"/>
    </dxf>
    <dxf>
      <numFmt numFmtId="34" formatCode="_(&quot;£&quot;* #,##0.00_);_(&quot;£&quot;* \(#,##0.00\);_(&quot;£&quot;* &quot;-&quot;??_);_(@_)"/>
    </dxf>
    <dxf>
      <alignment horizontal="center"/>
    </dxf>
    <dxf>
      <alignment horizontal="center"/>
    </dxf>
    <dxf>
      <alignment horizontal="center"/>
    </dxf>
    <dxf>
      <font>
        <sz val="13"/>
      </font>
    </dxf>
    <dxf>
      <font>
        <sz val="16"/>
      </font>
    </dxf>
    <dxf>
      <font>
        <sz val="16"/>
      </font>
    </dxf>
    <dxf>
      <font>
        <sz val="16"/>
      </font>
    </dxf>
    <dxf>
      <font>
        <sz val="16"/>
      </font>
    </dxf>
    <dxf>
      <font>
        <sz val="16"/>
      </font>
    </dxf>
    <dxf>
      <font>
        <sz val="16"/>
      </font>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[Divine Foods Inc. Cookie Sales Dataset.xlsx]Profit Per Customer Type!PivotTable8</c:name>
    <c:fmtId val="0"/>
  </c:pivotSource>
  <c:chart>
    <c:title>
      <c:tx>
        <c:rich>
          <a:bodyPr rot="0" spcFirstLastPara="1" vertOverflow="ellipsis" vert="horz" wrap="square" anchor="ctr" anchorCtr="1"/>
          <a:lstStyle/>
          <a:p>
            <a:pPr>
              <a:defRPr sz="1440" b="1" i="0" u="none" strike="noStrike" kern="1200" cap="none" spc="0" normalizeH="0" baseline="0">
                <a:solidFill>
                  <a:srgbClr val="0070C0"/>
                </a:solidFill>
                <a:latin typeface="+mj-lt"/>
                <a:ea typeface="+mj-ea"/>
                <a:cs typeface="+mj-cs"/>
              </a:defRPr>
            </a:pPr>
            <a:r>
              <a:rPr lang="en-US" b="1">
                <a:solidFill>
                  <a:srgbClr val="0070C0"/>
                </a:solidFill>
              </a:rPr>
              <a:t>PROFIT BY CUSTOMER TYPE</a:t>
            </a:r>
          </a:p>
        </c:rich>
      </c:tx>
      <c:overlay val="0"/>
      <c:spPr>
        <a:noFill/>
        <a:ln>
          <a:noFill/>
        </a:ln>
        <a:effectLst/>
      </c:spPr>
      <c:txPr>
        <a:bodyPr rot="0" spcFirstLastPara="1" vertOverflow="ellipsis" vert="horz" wrap="square" anchor="ctr" anchorCtr="1"/>
        <a:lstStyle/>
        <a:p>
          <a:pPr>
            <a:defRPr sz="1440" b="1" i="0" u="none" strike="noStrike" kern="1200" cap="none" spc="0" normalizeH="0" baseline="0">
              <a:solidFill>
                <a:srgbClr val="0070C0"/>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Per Customer Type'!$E$2</c:f>
              <c:strCache>
                <c:ptCount val="1"/>
                <c:pt idx="0">
                  <c:v>Total</c:v>
                </c:pt>
              </c:strCache>
            </c:strRef>
          </c:tx>
          <c:spPr>
            <a:solidFill>
              <a:schemeClr val="accent1"/>
            </a:solidFill>
            <a:ln>
              <a:noFill/>
            </a:ln>
            <a:effectLst/>
          </c:spPr>
          <c:invertIfNegative val="0"/>
          <c:cat>
            <c:strRef>
              <c:f>'Profit Per Customer Type'!$D$3:$D$8</c:f>
              <c:strCache>
                <c:ptCount val="5"/>
                <c:pt idx="0">
                  <c:v>New customer, make sure to please them! Very frugal, so reinforce how delicious AND inexpensive our cookies are.</c:v>
                </c:pt>
                <c:pt idx="1">
                  <c:v>Friendly but a little old school. Talks way too much, set a time limit on calls.</c:v>
                </c:pt>
                <c:pt idx="2">
                  <c:v>One of our best customers! Likes to talk about roses. Make sure to read all about roses on Wikipedia before meeting.</c:v>
                </c:pt>
                <c:pt idx="3">
                  <c:v>CEO has three kids, first one is Charles, don't know the rest. CEO cares about Charles the most, so all good.</c:v>
                </c:pt>
                <c:pt idx="4">
                  <c:v>High maintenance, not sure if it's worth having them as a customer, but don't tell them that!</c:v>
                </c:pt>
              </c:strCache>
            </c:strRef>
          </c:cat>
          <c:val>
            <c:numRef>
              <c:f>'Profit Per Customer Type'!$E$3:$E$8</c:f>
              <c:numCache>
                <c:formatCode>_("£"* #,##0.00_);_("£"* \(#,##0.00\);_("£"* "-"??_);_(@_)</c:formatCode>
                <c:ptCount val="5"/>
                <c:pt idx="0">
                  <c:v>10021.9</c:v>
                </c:pt>
                <c:pt idx="1">
                  <c:v>9145.1500000000015</c:v>
                </c:pt>
                <c:pt idx="2">
                  <c:v>8515.6999999999989</c:v>
                </c:pt>
                <c:pt idx="3">
                  <c:v>6009.3</c:v>
                </c:pt>
                <c:pt idx="4">
                  <c:v>4966</c:v>
                </c:pt>
              </c:numCache>
            </c:numRef>
          </c:val>
          <c:extLst>
            <c:ext xmlns:c16="http://schemas.microsoft.com/office/drawing/2014/chart" uri="{C3380CC4-5D6E-409C-BE32-E72D297353CC}">
              <c16:uniqueId val="{00000000-826A-9E44-A8C9-A7F2100718B7}"/>
            </c:ext>
          </c:extLst>
        </c:ser>
        <c:dLbls>
          <c:showLegendKey val="0"/>
          <c:showVal val="0"/>
          <c:showCatName val="0"/>
          <c:showSerName val="0"/>
          <c:showPercent val="0"/>
          <c:showBubbleSize val="0"/>
        </c:dLbls>
        <c:gapWidth val="267"/>
        <c:overlap val="-43"/>
        <c:axId val="1691742927"/>
        <c:axId val="1691744655"/>
      </c:barChart>
      <c:catAx>
        <c:axId val="169174292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r>
                  <a:rPr lang="en-GB">
                    <a:solidFill>
                      <a:srgbClr val="0070C0"/>
                    </a:solidFill>
                  </a:rPr>
                  <a:t>Customer Type</a:t>
                </a:r>
              </a:p>
            </c:rich>
          </c:tx>
          <c:layout>
            <c:manualLayout>
              <c:xMode val="edge"/>
              <c:yMode val="edge"/>
              <c:x val="0.37924650043744534"/>
              <c:y val="0.88895815106445031"/>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chemeClr val="dk1">
                    <a:lumMod val="65000"/>
                    <a:lumOff val="35000"/>
                  </a:schemeClr>
                </a:solidFill>
                <a:latin typeface="+mn-lt"/>
                <a:ea typeface="+mn-ea"/>
                <a:cs typeface="+mn-cs"/>
              </a:defRPr>
            </a:pPr>
            <a:endParaRPr lang="en-US"/>
          </a:p>
        </c:txPr>
        <c:crossAx val="1691744655"/>
        <c:crosses val="autoZero"/>
        <c:auto val="1"/>
        <c:lblAlgn val="ctr"/>
        <c:lblOffset val="100"/>
        <c:noMultiLvlLbl val="0"/>
      </c:catAx>
      <c:valAx>
        <c:axId val="169174465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0070C0"/>
                    </a:solidFill>
                    <a:latin typeface="+mn-lt"/>
                    <a:ea typeface="+mn-ea"/>
                    <a:cs typeface="+mn-cs"/>
                  </a:defRPr>
                </a:pPr>
                <a:r>
                  <a:rPr lang="en-GB">
                    <a:solidFill>
                      <a:srgbClr val="0070C0"/>
                    </a:solidFill>
                  </a:rPr>
                  <a:t>Profit</a:t>
                </a: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0070C0"/>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crossAx val="169174292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[Divine Foods Inc. Cookie Sales Dataset.xlsx]Pivot Table Analysis!PivotTable5</c:name>
    <c:fmtId val="8"/>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MOST</a:t>
            </a:r>
            <a:r>
              <a:rPr lang="en-US" b="1" baseline="0">
                <a:solidFill>
                  <a:schemeClr val="accent1"/>
                </a:solidFill>
              </a:rPr>
              <a:t> POPULAR COOKIE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Analysis'!$B$11</c:f>
              <c:strCache>
                <c:ptCount val="1"/>
                <c:pt idx="0">
                  <c:v>Total</c:v>
                </c:pt>
              </c:strCache>
            </c:strRef>
          </c:tx>
          <c:spPr>
            <a:solidFill>
              <a:schemeClr val="accent1"/>
            </a:solidFill>
            <a:ln>
              <a:noFill/>
            </a:ln>
            <a:effectLst/>
          </c:spPr>
          <c:invertIfNegative val="0"/>
          <c:cat>
            <c:strRef>
              <c:f>'Pivot Table Analysis'!$A$12:$A$18</c:f>
              <c:strCache>
                <c:ptCount val="6"/>
                <c:pt idx="0">
                  <c:v>Fortune Cookie</c:v>
                </c:pt>
                <c:pt idx="1">
                  <c:v>Sugar</c:v>
                </c:pt>
                <c:pt idx="2">
                  <c:v>Chocolate Chip</c:v>
                </c:pt>
                <c:pt idx="3">
                  <c:v>Snickerdoodle</c:v>
                </c:pt>
                <c:pt idx="4">
                  <c:v>Oatmeal Raisin</c:v>
                </c:pt>
                <c:pt idx="5">
                  <c:v>White Chocolate Macadamia Nut</c:v>
                </c:pt>
              </c:strCache>
            </c:strRef>
          </c:cat>
          <c:val>
            <c:numRef>
              <c:f>'Pivot Table Analysis'!$B$12:$B$18</c:f>
              <c:numCache>
                <c:formatCode>General</c:formatCode>
                <c:ptCount val="6"/>
                <c:pt idx="0">
                  <c:v>3661</c:v>
                </c:pt>
                <c:pt idx="1">
                  <c:v>3110</c:v>
                </c:pt>
                <c:pt idx="2">
                  <c:v>2937</c:v>
                </c:pt>
                <c:pt idx="3">
                  <c:v>2751</c:v>
                </c:pt>
                <c:pt idx="4">
                  <c:v>2696</c:v>
                </c:pt>
                <c:pt idx="5">
                  <c:v>2507</c:v>
                </c:pt>
              </c:numCache>
            </c:numRef>
          </c:val>
          <c:extLst>
            <c:ext xmlns:c16="http://schemas.microsoft.com/office/drawing/2014/chart" uri="{C3380CC4-5D6E-409C-BE32-E72D297353CC}">
              <c16:uniqueId val="{00000000-A79A-3540-B736-3631AB14952A}"/>
            </c:ext>
          </c:extLst>
        </c:ser>
        <c:dLbls>
          <c:showLegendKey val="0"/>
          <c:showVal val="0"/>
          <c:showCatName val="0"/>
          <c:showSerName val="0"/>
          <c:showPercent val="0"/>
          <c:showBubbleSize val="0"/>
        </c:dLbls>
        <c:gapWidth val="219"/>
        <c:axId val="1658072799"/>
        <c:axId val="1657980735"/>
      </c:barChart>
      <c:catAx>
        <c:axId val="1658072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Cookie</a:t>
                </a:r>
                <a:r>
                  <a:rPr lang="en-GB" baseline="0"/>
                  <a:t> Name</a:t>
                </a:r>
                <a:endParaRPr lang="en-GB"/>
              </a:p>
            </c:rich>
          </c:tx>
          <c:layout>
            <c:manualLayout>
              <c:xMode val="edge"/>
              <c:yMode val="edge"/>
              <c:x val="0.34557323951527336"/>
              <c:y val="0.89997730013478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57980735"/>
        <c:crosses val="autoZero"/>
        <c:auto val="1"/>
        <c:lblAlgn val="ctr"/>
        <c:lblOffset val="100"/>
        <c:noMultiLvlLbl val="0"/>
      </c:catAx>
      <c:valAx>
        <c:axId val="16579807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Quantity</a:t>
                </a:r>
                <a:r>
                  <a:rPr lang="en-GB" baseline="0"/>
                  <a:t> Sold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07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[Divine Foods Inc. Cookie Sales Dataset.xlsx]Pivot Table Analysis!PivotTable7</c:name>
    <c:fmtId val="1"/>
  </c:pivotSource>
  <c:chart>
    <c:title>
      <c:tx>
        <c:rich>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r>
              <a:rPr lang="en-US">
                <a:solidFill>
                  <a:schemeClr val="accent1"/>
                </a:solidFill>
              </a:rPr>
              <a:t>PROFITABLE</a:t>
            </a:r>
            <a:r>
              <a:rPr lang="en-US" baseline="0">
                <a:solidFill>
                  <a:schemeClr val="accent1"/>
                </a:solidFill>
              </a:rPr>
              <a:t> CITIES</a:t>
            </a:r>
            <a:endParaRPr lang="en-US">
              <a:solidFill>
                <a:schemeClr val="accent1"/>
              </a:solidFill>
            </a:endParaRPr>
          </a:p>
        </c:rich>
      </c:tx>
      <c:layout>
        <c:manualLayout>
          <c:xMode val="edge"/>
          <c:yMode val="edge"/>
          <c:x val="0.33688332590501652"/>
          <c:y val="3.44829044020504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Analysis'!$G$22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F3F-4224-B69A-7233F41B5A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F3F-4224-B69A-7233F41B5A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F3F-4224-B69A-7233F41B5A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3F-4224-B69A-7233F41B5A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4B9-3141-B8AB-C3F575D4B9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Analysis'!$F$23:$F$28</c:f>
              <c:strCache>
                <c:ptCount val="5"/>
                <c:pt idx="0">
                  <c:v>Mobile</c:v>
                </c:pt>
                <c:pt idx="1">
                  <c:v>Salt Lake City</c:v>
                </c:pt>
                <c:pt idx="2">
                  <c:v>Green Bay</c:v>
                </c:pt>
                <c:pt idx="3">
                  <c:v>Huntington</c:v>
                </c:pt>
                <c:pt idx="4">
                  <c:v>Seattle</c:v>
                </c:pt>
              </c:strCache>
            </c:strRef>
          </c:cat>
          <c:val>
            <c:numRef>
              <c:f>'Pivot Table Analysis'!$G$23:$G$28</c:f>
              <c:numCache>
                <c:formatCode>_("£"* #,##0.00_);_("£"* \(#,##0.00\);_("£"* "-"??_);_(@_)</c:formatCode>
                <c:ptCount val="5"/>
                <c:pt idx="0">
                  <c:v>10021.9</c:v>
                </c:pt>
                <c:pt idx="1">
                  <c:v>9145.1500000000015</c:v>
                </c:pt>
                <c:pt idx="2">
                  <c:v>8515.6999999999989</c:v>
                </c:pt>
                <c:pt idx="3">
                  <c:v>6009.3</c:v>
                </c:pt>
                <c:pt idx="4">
                  <c:v>4966</c:v>
                </c:pt>
              </c:numCache>
            </c:numRef>
          </c:val>
          <c:extLst>
            <c:ext xmlns:c16="http://schemas.microsoft.com/office/drawing/2014/chart" uri="{C3380CC4-5D6E-409C-BE32-E72D297353CC}">
              <c16:uniqueId val="{00000000-14B9-3141-B8AB-C3F575D4B9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[Divine Foods Inc. Cookie Sales Dataset.xlsx]Pivot Table Analysis!PivotTable9</c:name>
    <c:fmtId val="6"/>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GB" b="1">
                <a:solidFill>
                  <a:schemeClr val="accent1"/>
                </a:solidFill>
              </a:rPr>
              <a:t>IMPACT</a:t>
            </a:r>
            <a:r>
              <a:rPr lang="en-GB" b="1" baseline="0">
                <a:solidFill>
                  <a:schemeClr val="accent1"/>
                </a:solidFill>
              </a:rPr>
              <a:t> OF SALES PRICE ON </a:t>
            </a:r>
            <a:r>
              <a:rPr lang="en-GB" b="1">
                <a:solidFill>
                  <a:schemeClr val="accent1"/>
                </a:solidFill>
              </a:rPr>
              <a:t>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Analysis'!$O$2</c:f>
              <c:strCache>
                <c:ptCount val="1"/>
                <c:pt idx="0">
                  <c:v>Sum of Sales Price</c:v>
                </c:pt>
              </c:strCache>
            </c:strRef>
          </c:tx>
          <c:spPr>
            <a:solidFill>
              <a:schemeClr val="accent1"/>
            </a:solidFill>
            <a:ln>
              <a:noFill/>
            </a:ln>
            <a:effectLst/>
          </c:spPr>
          <c:invertIfNegative val="0"/>
          <c:cat>
            <c:strRef>
              <c:f>'Pivot Table Analysis'!$N$3:$N$9</c:f>
              <c:strCache>
                <c:ptCount val="6"/>
                <c:pt idx="0">
                  <c:v>Fortune Cookie</c:v>
                </c:pt>
                <c:pt idx="1">
                  <c:v>Sugar</c:v>
                </c:pt>
                <c:pt idx="2">
                  <c:v>Snickerdoodle</c:v>
                </c:pt>
                <c:pt idx="3">
                  <c:v>Oatmeal Raisin</c:v>
                </c:pt>
                <c:pt idx="4">
                  <c:v>Chocolate Chip</c:v>
                </c:pt>
                <c:pt idx="5">
                  <c:v>White Chocolate Macadamia Nut</c:v>
                </c:pt>
              </c:strCache>
            </c:strRef>
          </c:cat>
          <c:val>
            <c:numRef>
              <c:f>'Pivot Table Analysis'!$O$3:$O$9</c:f>
              <c:numCache>
                <c:formatCode>_("£"* #,##0.00_);_("£"* \(#,##0.00\);_("£"* "-"??_);_(@_)</c:formatCode>
                <c:ptCount val="6"/>
                <c:pt idx="0">
                  <c:v>3661</c:v>
                </c:pt>
                <c:pt idx="1">
                  <c:v>9330</c:v>
                </c:pt>
                <c:pt idx="2">
                  <c:v>11004</c:v>
                </c:pt>
                <c:pt idx="3">
                  <c:v>13480</c:v>
                </c:pt>
                <c:pt idx="4">
                  <c:v>14685</c:v>
                </c:pt>
                <c:pt idx="5">
                  <c:v>15042</c:v>
                </c:pt>
              </c:numCache>
            </c:numRef>
          </c:val>
          <c:extLst>
            <c:ext xmlns:c16="http://schemas.microsoft.com/office/drawing/2014/chart" uri="{C3380CC4-5D6E-409C-BE32-E72D297353CC}">
              <c16:uniqueId val="{00000000-B9A0-1A4E-A0FE-F65BBF1FCF80}"/>
            </c:ext>
          </c:extLst>
        </c:ser>
        <c:dLbls>
          <c:showLegendKey val="0"/>
          <c:showVal val="0"/>
          <c:showCatName val="0"/>
          <c:showSerName val="0"/>
          <c:showPercent val="0"/>
          <c:showBubbleSize val="0"/>
        </c:dLbls>
        <c:gapWidth val="150"/>
        <c:axId val="1684880719"/>
        <c:axId val="1454430719"/>
      </c:barChart>
      <c:lineChart>
        <c:grouping val="standard"/>
        <c:varyColors val="0"/>
        <c:ser>
          <c:idx val="1"/>
          <c:order val="1"/>
          <c:tx>
            <c:strRef>
              <c:f>'Pivot Table Analysis'!$P$2</c:f>
              <c:strCache>
                <c:ptCount val="1"/>
                <c:pt idx="0">
                  <c:v>Sum of Profit</c:v>
                </c:pt>
              </c:strCache>
            </c:strRef>
          </c:tx>
          <c:spPr>
            <a:ln w="28575" cap="rnd">
              <a:solidFill>
                <a:schemeClr val="accent2"/>
              </a:solidFill>
              <a:round/>
            </a:ln>
            <a:effectLst/>
          </c:spPr>
          <c:marker>
            <c:symbol val="none"/>
          </c:marker>
          <c:cat>
            <c:strRef>
              <c:f>'Pivot Table Analysis'!$N$3:$N$9</c:f>
              <c:strCache>
                <c:ptCount val="6"/>
                <c:pt idx="0">
                  <c:v>Fortune Cookie</c:v>
                </c:pt>
                <c:pt idx="1">
                  <c:v>Sugar</c:v>
                </c:pt>
                <c:pt idx="2">
                  <c:v>Snickerdoodle</c:v>
                </c:pt>
                <c:pt idx="3">
                  <c:v>Oatmeal Raisin</c:v>
                </c:pt>
                <c:pt idx="4">
                  <c:v>Chocolate Chip</c:v>
                </c:pt>
                <c:pt idx="5">
                  <c:v>White Chocolate Macadamia Nut</c:v>
                </c:pt>
              </c:strCache>
            </c:strRef>
          </c:cat>
          <c:val>
            <c:numRef>
              <c:f>'Pivot Table Analysis'!$P$3:$P$9</c:f>
              <c:numCache>
                <c:formatCode>_("£"* #,##0.00_);_("£"* \(#,##0.00\);_("£"* "-"??_);_(@_)</c:formatCode>
                <c:ptCount val="6"/>
                <c:pt idx="0">
                  <c:v>1830.5</c:v>
                </c:pt>
                <c:pt idx="1">
                  <c:v>5442.5</c:v>
                </c:pt>
                <c:pt idx="2">
                  <c:v>6877.5</c:v>
                </c:pt>
                <c:pt idx="3">
                  <c:v>7548.7999999999984</c:v>
                </c:pt>
                <c:pt idx="4">
                  <c:v>8811</c:v>
                </c:pt>
                <c:pt idx="5">
                  <c:v>8147.75</c:v>
                </c:pt>
              </c:numCache>
            </c:numRef>
          </c:val>
          <c:smooth val="0"/>
          <c:extLst>
            <c:ext xmlns:c16="http://schemas.microsoft.com/office/drawing/2014/chart" uri="{C3380CC4-5D6E-409C-BE32-E72D297353CC}">
              <c16:uniqueId val="{00000001-B9A0-1A4E-A0FE-F65BBF1FCF80}"/>
            </c:ext>
          </c:extLst>
        </c:ser>
        <c:dLbls>
          <c:showLegendKey val="0"/>
          <c:showVal val="0"/>
          <c:showCatName val="0"/>
          <c:showSerName val="0"/>
          <c:showPercent val="0"/>
          <c:showBubbleSize val="0"/>
        </c:dLbls>
        <c:marker val="1"/>
        <c:smooth val="0"/>
        <c:axId val="1684880719"/>
        <c:axId val="1454430719"/>
      </c:lineChart>
      <c:catAx>
        <c:axId val="168488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430719"/>
        <c:crosses val="autoZero"/>
        <c:auto val="1"/>
        <c:lblAlgn val="ctr"/>
        <c:lblOffset val="100"/>
        <c:noMultiLvlLbl val="0"/>
      </c:catAx>
      <c:valAx>
        <c:axId val="14544307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8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[Divine Foods Inc. Cookie Sales Dataset.xlsx]Pivot Table Analysis!PivotTable9</c:name>
    <c:fmtId val="16"/>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GB" b="1">
                <a:solidFill>
                  <a:schemeClr val="accent1"/>
                </a:solidFill>
              </a:rPr>
              <a:t>EFFECTS OF</a:t>
            </a:r>
            <a:r>
              <a:rPr lang="en-GB" b="1" baseline="0">
                <a:solidFill>
                  <a:schemeClr val="accent1"/>
                </a:solidFill>
              </a:rPr>
              <a:t> SALES PRICE ON PROFIT</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85734988647889"/>
          <c:y val="7.6956291526465923E-2"/>
          <c:w val="0.6696195835949954"/>
          <c:h val="0.8416746864975212"/>
        </c:manualLayout>
      </c:layout>
      <c:bar3DChart>
        <c:barDir val="bar"/>
        <c:grouping val="clustered"/>
        <c:varyColors val="0"/>
        <c:ser>
          <c:idx val="0"/>
          <c:order val="0"/>
          <c:tx>
            <c:strRef>
              <c:f>'Pivot Table Analysis'!$O$2</c:f>
              <c:strCache>
                <c:ptCount val="1"/>
                <c:pt idx="0">
                  <c:v>Sum of Sales Price</c:v>
                </c:pt>
              </c:strCache>
            </c:strRef>
          </c:tx>
          <c:spPr>
            <a:solidFill>
              <a:schemeClr val="accent1"/>
            </a:solidFill>
            <a:ln>
              <a:noFill/>
            </a:ln>
            <a:effectLst/>
            <a:sp3d/>
          </c:spPr>
          <c:invertIfNegative val="0"/>
          <c:cat>
            <c:strRef>
              <c:f>'Pivot Table Analysis'!$N$3:$N$9</c:f>
              <c:strCache>
                <c:ptCount val="6"/>
                <c:pt idx="0">
                  <c:v>Fortune Cookie</c:v>
                </c:pt>
                <c:pt idx="1">
                  <c:v>Sugar</c:v>
                </c:pt>
                <c:pt idx="2">
                  <c:v>Snickerdoodle</c:v>
                </c:pt>
                <c:pt idx="3">
                  <c:v>Oatmeal Raisin</c:v>
                </c:pt>
                <c:pt idx="4">
                  <c:v>Chocolate Chip</c:v>
                </c:pt>
                <c:pt idx="5">
                  <c:v>White Chocolate Macadamia Nut</c:v>
                </c:pt>
              </c:strCache>
            </c:strRef>
          </c:cat>
          <c:val>
            <c:numRef>
              <c:f>'Pivot Table Analysis'!$O$3:$O$9</c:f>
              <c:numCache>
                <c:formatCode>_("£"* #,##0.00_);_("£"* \(#,##0.00\);_("£"* "-"??_);_(@_)</c:formatCode>
                <c:ptCount val="6"/>
                <c:pt idx="0">
                  <c:v>3661</c:v>
                </c:pt>
                <c:pt idx="1">
                  <c:v>9330</c:v>
                </c:pt>
                <c:pt idx="2">
                  <c:v>11004</c:v>
                </c:pt>
                <c:pt idx="3">
                  <c:v>13480</c:v>
                </c:pt>
                <c:pt idx="4">
                  <c:v>14685</c:v>
                </c:pt>
                <c:pt idx="5">
                  <c:v>15042</c:v>
                </c:pt>
              </c:numCache>
            </c:numRef>
          </c:val>
          <c:extLst>
            <c:ext xmlns:c16="http://schemas.microsoft.com/office/drawing/2014/chart" uri="{C3380CC4-5D6E-409C-BE32-E72D297353CC}">
              <c16:uniqueId val="{00000000-A9F2-CB44-8D66-083065121DD4}"/>
            </c:ext>
          </c:extLst>
        </c:ser>
        <c:ser>
          <c:idx val="1"/>
          <c:order val="1"/>
          <c:tx>
            <c:strRef>
              <c:f>'Pivot Table Analysis'!$P$2</c:f>
              <c:strCache>
                <c:ptCount val="1"/>
                <c:pt idx="0">
                  <c:v>Sum of Profit</c:v>
                </c:pt>
              </c:strCache>
            </c:strRef>
          </c:tx>
          <c:spPr>
            <a:solidFill>
              <a:schemeClr val="accent2"/>
            </a:solidFill>
            <a:ln>
              <a:noFill/>
            </a:ln>
            <a:effectLst/>
            <a:sp3d/>
          </c:spPr>
          <c:invertIfNegative val="0"/>
          <c:cat>
            <c:strRef>
              <c:f>'Pivot Table Analysis'!$N$3:$N$9</c:f>
              <c:strCache>
                <c:ptCount val="6"/>
                <c:pt idx="0">
                  <c:v>Fortune Cookie</c:v>
                </c:pt>
                <c:pt idx="1">
                  <c:v>Sugar</c:v>
                </c:pt>
                <c:pt idx="2">
                  <c:v>Snickerdoodle</c:v>
                </c:pt>
                <c:pt idx="3">
                  <c:v>Oatmeal Raisin</c:v>
                </c:pt>
                <c:pt idx="4">
                  <c:v>Chocolate Chip</c:v>
                </c:pt>
                <c:pt idx="5">
                  <c:v>White Chocolate Macadamia Nut</c:v>
                </c:pt>
              </c:strCache>
            </c:strRef>
          </c:cat>
          <c:val>
            <c:numRef>
              <c:f>'Pivot Table Analysis'!$P$3:$P$9</c:f>
              <c:numCache>
                <c:formatCode>_("£"* #,##0.00_);_("£"* \(#,##0.00\);_("£"* "-"??_);_(@_)</c:formatCode>
                <c:ptCount val="6"/>
                <c:pt idx="0">
                  <c:v>1830.5</c:v>
                </c:pt>
                <c:pt idx="1">
                  <c:v>5442.5</c:v>
                </c:pt>
                <c:pt idx="2">
                  <c:v>6877.5</c:v>
                </c:pt>
                <c:pt idx="3">
                  <c:v>7548.7999999999984</c:v>
                </c:pt>
                <c:pt idx="4">
                  <c:v>8811</c:v>
                </c:pt>
                <c:pt idx="5">
                  <c:v>8147.75</c:v>
                </c:pt>
              </c:numCache>
            </c:numRef>
          </c:val>
          <c:extLst>
            <c:ext xmlns:c16="http://schemas.microsoft.com/office/drawing/2014/chart" uri="{C3380CC4-5D6E-409C-BE32-E72D297353CC}">
              <c16:uniqueId val="{00000001-A9F2-CB44-8D66-083065121DD4}"/>
            </c:ext>
          </c:extLst>
        </c:ser>
        <c:dLbls>
          <c:showLegendKey val="0"/>
          <c:showVal val="0"/>
          <c:showCatName val="0"/>
          <c:showSerName val="0"/>
          <c:showPercent val="0"/>
          <c:showBubbleSize val="0"/>
        </c:dLbls>
        <c:gapWidth val="150"/>
        <c:shape val="box"/>
        <c:axId val="1135462272"/>
        <c:axId val="1296279440"/>
        <c:axId val="0"/>
      </c:bar3DChart>
      <c:catAx>
        <c:axId val="113546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96279440"/>
        <c:crosses val="autoZero"/>
        <c:auto val="1"/>
        <c:lblAlgn val="ctr"/>
        <c:lblOffset val="100"/>
        <c:noMultiLvlLbl val="0"/>
      </c:catAx>
      <c:valAx>
        <c:axId val="129627944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46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736600</xdr:colOff>
      <xdr:row>0</xdr:row>
      <xdr:rowOff>12700</xdr:rowOff>
    </xdr:from>
    <xdr:to>
      <xdr:col>6</xdr:col>
      <xdr:colOff>139700</xdr:colOff>
      <xdr:row>15</xdr:row>
      <xdr:rowOff>63500</xdr:rowOff>
    </xdr:to>
    <xdr:sp macro="" textlink="">
      <xdr:nvSpPr>
        <xdr:cNvPr id="2" name="TextBox 1">
          <a:extLst>
            <a:ext uri="{FF2B5EF4-FFF2-40B4-BE49-F238E27FC236}">
              <a16:creationId xmlns:a16="http://schemas.microsoft.com/office/drawing/2014/main" id="{9EE97D33-A0FD-6EAC-9239-2D055B9C9B3D}"/>
            </a:ext>
          </a:extLst>
        </xdr:cNvPr>
        <xdr:cNvSpPr txBox="1"/>
      </xdr:nvSpPr>
      <xdr:spPr>
        <a:xfrm>
          <a:off x="2743200" y="12700"/>
          <a:ext cx="4965700" cy="29083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400"/>
        </a:p>
        <a:p>
          <a:pPr algn="ctr"/>
          <a:endParaRPr lang="en-GB" sz="1400"/>
        </a:p>
        <a:p>
          <a:pPr lvl="0" algn="ctr"/>
          <a:r>
            <a:rPr lang="en-GB" sz="1400"/>
            <a:t>     </a:t>
          </a:r>
          <a:r>
            <a:rPr lang="en-GB" sz="1600"/>
            <a:t>H1:There</a:t>
          </a:r>
          <a:r>
            <a:rPr lang="en-GB" sz="1600" baseline="0"/>
            <a:t> is a strong relationship between units sold and profit.</a:t>
          </a:r>
        </a:p>
        <a:p>
          <a:pPr lvl="0" algn="ctr"/>
          <a:r>
            <a:rPr lang="en-GB" sz="1600" baseline="0"/>
            <a:t>    </a:t>
          </a:r>
        </a:p>
        <a:p>
          <a:pPr lvl="0" algn="ctr"/>
          <a:r>
            <a:rPr lang="en-GB" sz="1600" baseline="0"/>
            <a:t>   H1:</a:t>
          </a:r>
          <a:r>
            <a:rPr lang="en-GB" sz="1600" b="0" i="0">
              <a:solidFill>
                <a:schemeClr val="dk1"/>
              </a:solidFill>
              <a:effectLst/>
              <a:latin typeface="+mn-lt"/>
              <a:ea typeface="+mn-ea"/>
              <a:cs typeface="+mn-cs"/>
            </a:rPr>
            <a:t>Cookie sales vary significantly across different store locations.</a:t>
          </a:r>
        </a:p>
        <a:p>
          <a:pPr lvl="0" algn="ctr"/>
          <a:endParaRPr lang="en-GB" sz="1600" b="0" i="0">
            <a:solidFill>
              <a:schemeClr val="dk1"/>
            </a:solidFill>
            <a:effectLst/>
            <a:latin typeface="+mn-lt"/>
            <a:ea typeface="+mn-ea"/>
            <a:cs typeface="+mn-cs"/>
          </a:endParaRPr>
        </a:p>
        <a:p>
          <a:pPr lvl="0" algn="ctr"/>
          <a:r>
            <a:rPr lang="en-GB" sz="1600" b="0" i="0">
              <a:solidFill>
                <a:schemeClr val="dk1"/>
              </a:solidFill>
              <a:effectLst/>
              <a:latin typeface="+mn-lt"/>
              <a:ea typeface="+mn-ea"/>
              <a:cs typeface="+mn-cs"/>
            </a:rPr>
            <a:t>H1:Higher cookie prices result in lower sales volume.</a:t>
          </a:r>
          <a:endParaRPr lang="en-GB" sz="1600"/>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2044700</xdr:colOff>
      <xdr:row>10</xdr:row>
      <xdr:rowOff>0</xdr:rowOff>
    </xdr:from>
    <xdr:to>
      <xdr:col>3</xdr:col>
      <xdr:colOff>7416800</xdr:colOff>
      <xdr:row>22</xdr:row>
      <xdr:rowOff>152400</xdr:rowOff>
    </xdr:to>
    <xdr:graphicFrame macro="">
      <xdr:nvGraphicFramePr>
        <xdr:cNvPr id="2" name="Chart 1">
          <a:extLst>
            <a:ext uri="{FF2B5EF4-FFF2-40B4-BE49-F238E27FC236}">
              <a16:creationId xmlns:a16="http://schemas.microsoft.com/office/drawing/2014/main" id="{5D029A41-FDF6-B98E-B3EE-CB44366C2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419100</xdr:colOff>
      <xdr:row>21</xdr:row>
      <xdr:rowOff>12699</xdr:rowOff>
    </xdr:from>
    <xdr:to>
      <xdr:col>8</xdr:col>
      <xdr:colOff>723900</xdr:colOff>
      <xdr:row>30</xdr:row>
      <xdr:rowOff>101600</xdr:rowOff>
    </xdr:to>
    <mc:AlternateContent xmlns:mc="http://schemas.openxmlformats.org/markup-compatibility/2006" xmlns:a14="http://schemas.microsoft.com/office/drawing/2010/main">
      <mc:Choice Requires="a14">
        <xdr:graphicFrame macro="">
          <xdr:nvGraphicFramePr>
            <xdr:cNvPr id="3" name="CookieName">
              <a:extLst>
                <a:ext uri="{FF2B5EF4-FFF2-40B4-BE49-F238E27FC236}">
                  <a16:creationId xmlns:a16="http://schemas.microsoft.com/office/drawing/2014/main" id="{AA976300-8640-1BED-D158-CAB9AAC4BF5F}"/>
                </a:ext>
              </a:extLst>
            </xdr:cNvPr>
            <xdr:cNvGraphicFramePr/>
          </xdr:nvGraphicFramePr>
          <xdr:xfrm>
            <a:off x="0" y="0"/>
            <a:ext cx="0" cy="0"/>
          </xdr:xfrm>
          <a:graphic>
            <a:graphicData uri="http://schemas.microsoft.com/office/drawing/2010/slicer">
              <sle:slicer xmlns:sle="http://schemas.microsoft.com/office/drawing/2010/slicer" name="CookieName"/>
            </a:graphicData>
          </a:graphic>
        </xdr:graphicFrame>
      </mc:Choice>
      <mc:Fallback xmlns="">
        <xdr:sp macro="" textlink="">
          <xdr:nvSpPr>
            <xdr:cNvPr id="0" name=""/>
            <xdr:cNvSpPr>
              <a:spLocks noTextEdit="1"/>
            </xdr:cNvSpPr>
          </xdr:nvSpPr>
          <xdr:spPr>
            <a:xfrm>
              <a:off x="9067800" y="4457699"/>
              <a:ext cx="1828800" cy="18034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755650</xdr:colOff>
      <xdr:row>17</xdr:row>
      <xdr:rowOff>203200</xdr:rowOff>
    </xdr:from>
    <xdr:to>
      <xdr:col>3</xdr:col>
      <xdr:colOff>774700</xdr:colOff>
      <xdr:row>32</xdr:row>
      <xdr:rowOff>127000</xdr:rowOff>
    </xdr:to>
    <xdr:graphicFrame macro="">
      <xdr:nvGraphicFramePr>
        <xdr:cNvPr id="13" name="Chart 12">
          <a:extLst>
            <a:ext uri="{FF2B5EF4-FFF2-40B4-BE49-F238E27FC236}">
              <a16:creationId xmlns:a16="http://schemas.microsoft.com/office/drawing/2014/main" id="{0F2FE3E8-063B-1B53-0847-28798E8F2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1168400</xdr:colOff>
      <xdr:row>9</xdr:row>
      <xdr:rowOff>12700</xdr:rowOff>
    </xdr:from>
    <xdr:to>
      <xdr:col>7</xdr:col>
      <xdr:colOff>381000</xdr:colOff>
      <xdr:row>19</xdr:row>
      <xdr:rowOff>127000</xdr:rowOff>
    </xdr:to>
    <xdr:graphicFrame macro="">
      <xdr:nvGraphicFramePr>
        <xdr:cNvPr id="15" name="Chart 14">
          <a:extLst>
            <a:ext uri="{FF2B5EF4-FFF2-40B4-BE49-F238E27FC236}">
              <a16:creationId xmlns:a16="http://schemas.microsoft.com/office/drawing/2014/main" id="{B77DDEF3-A277-847A-C912-7680A46CD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457200</xdr:colOff>
      <xdr:row>0</xdr:row>
      <xdr:rowOff>0</xdr:rowOff>
    </xdr:from>
    <xdr:to>
      <xdr:col>6</xdr:col>
      <xdr:colOff>355600</xdr:colOff>
      <xdr:row>6</xdr:row>
      <xdr:rowOff>25400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9A7DF67D-183E-DF94-6F66-62312DDA129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680200" y="0"/>
              <a:ext cx="17399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9</xdr:col>
      <xdr:colOff>139700</xdr:colOff>
      <xdr:row>20</xdr:row>
      <xdr:rowOff>38100</xdr:rowOff>
    </xdr:from>
    <xdr:to>
      <xdr:col>13</xdr:col>
      <xdr:colOff>330200</xdr:colOff>
      <xdr:row>32</xdr:row>
      <xdr:rowOff>171450</xdr:rowOff>
    </xdr:to>
    <xdr:graphicFrame macro="">
      <xdr:nvGraphicFramePr>
        <xdr:cNvPr id="6" name="Chart 5">
          <a:extLst>
            <a:ext uri="{FF2B5EF4-FFF2-40B4-BE49-F238E27FC236}">
              <a16:creationId xmlns:a16="http://schemas.microsoft.com/office/drawing/2014/main" id="{B19A7077-99EC-2080-B6EA-665C0619C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692150</xdr:colOff>
      <xdr:row>19</xdr:row>
      <xdr:rowOff>127000</xdr:rowOff>
    </xdr:from>
    <xdr:to>
      <xdr:col>16</xdr:col>
      <xdr:colOff>450850</xdr:colOff>
      <xdr:row>37</xdr:row>
      <xdr:rowOff>114300</xdr:rowOff>
    </xdr:to>
    <xdr:graphicFrame macro="">
      <xdr:nvGraphicFramePr>
        <xdr:cNvPr id="7" name="Chart 6">
          <a:extLst>
            <a:ext uri="{FF2B5EF4-FFF2-40B4-BE49-F238E27FC236}">
              <a16:creationId xmlns:a16="http://schemas.microsoft.com/office/drawing/2014/main" id="{85ADABD1-C27B-A508-05E3-7D32BD571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457200</xdr:colOff>
      <xdr:row>5</xdr:row>
      <xdr:rowOff>40640</xdr:rowOff>
    </xdr:from>
    <xdr:to>
      <xdr:col>8</xdr:col>
      <xdr:colOff>426720</xdr:colOff>
      <xdr:row>11</xdr:row>
      <xdr:rowOff>20320</xdr:rowOff>
    </xdr:to>
    <xdr:sp macro="" textlink="">
      <xdr:nvSpPr>
        <xdr:cNvPr id="2" name="TextBox 1">
          <a:extLst>
            <a:ext uri="{FF2B5EF4-FFF2-40B4-BE49-F238E27FC236}">
              <a16:creationId xmlns:a16="http://schemas.microsoft.com/office/drawing/2014/main" id="{CB6EBC41-BC94-8A42-E663-01E857622147}"/>
            </a:ext>
          </a:extLst>
        </xdr:cNvPr>
        <xdr:cNvSpPr txBox="1"/>
      </xdr:nvSpPr>
      <xdr:spPr>
        <a:xfrm>
          <a:off x="3749040" y="1026160"/>
          <a:ext cx="3261360" cy="113792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a:p>
          <a:r>
            <a:rPr lang="en-GB" sz="1400"/>
            <a:t>Correlation</a:t>
          </a:r>
          <a:r>
            <a:rPr lang="en-GB" sz="1400" baseline="0"/>
            <a:t> coefficient is 0.67 which means there is strong relationship between product cost and quantity sold</a:t>
          </a:r>
          <a:endParaRPr lang="en-GB" sz="1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533400</xdr:colOff>
      <xdr:row>1</xdr:row>
      <xdr:rowOff>25400</xdr:rowOff>
    </xdr:from>
    <xdr:to>
      <xdr:col>11</xdr:col>
      <xdr:colOff>241300</xdr:colOff>
      <xdr:row>16</xdr:row>
      <xdr:rowOff>127000</xdr:rowOff>
    </xdr:to>
    <xdr:sp macro="" textlink="">
      <xdr:nvSpPr>
        <xdr:cNvPr id="2" name="TextBox 1">
          <a:extLst>
            <a:ext uri="{FF2B5EF4-FFF2-40B4-BE49-F238E27FC236}">
              <a16:creationId xmlns:a16="http://schemas.microsoft.com/office/drawing/2014/main" id="{117A803A-B468-25AC-77B7-0CA5022C176B}"/>
            </a:ext>
          </a:extLst>
        </xdr:cNvPr>
        <xdr:cNvSpPr txBox="1"/>
      </xdr:nvSpPr>
      <xdr:spPr>
        <a:xfrm>
          <a:off x="3835400" y="215900"/>
          <a:ext cx="5486400" cy="295910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t>KEY</a:t>
          </a:r>
          <a:r>
            <a:rPr lang="en-GB" sz="1600" baseline="0"/>
            <a:t> FINDINGS:</a:t>
          </a:r>
        </a:p>
        <a:p>
          <a:endParaRPr lang="en-GB" sz="1600" baseline="0"/>
        </a:p>
        <a:p>
          <a:r>
            <a:rPr lang="en-GB" sz="1600" baseline="0"/>
            <a:t>1.Higher cookie prices result in higher profit.</a:t>
          </a:r>
        </a:p>
        <a:p>
          <a:r>
            <a:rPr lang="en-GB" sz="1600" baseline="0"/>
            <a:t>2.26% of the profit comes from Mobile City.</a:t>
          </a:r>
        </a:p>
        <a:p>
          <a:r>
            <a:rPr lang="en-GB" sz="1600" baseline="0"/>
            <a:t>3.Most popular cookie is fortune cookie.</a:t>
          </a:r>
        </a:p>
        <a:p>
          <a:r>
            <a:rPr lang="en-GB" sz="1600" baseline="0"/>
            <a:t>4.Less popular cookie is white chocolate macadamia nut</a:t>
          </a:r>
        </a:p>
        <a:p>
          <a:r>
            <a:rPr lang="en-GB" sz="1600" baseline="0"/>
            <a:t>5.Profit increases ,when sales price increases.</a:t>
          </a:r>
        </a:p>
        <a:p>
          <a:pPr marL="0" marR="0" lvl="0" indent="0" defTabSz="914400" eaLnBrk="1" fontAlgn="auto" latinLnBrk="0" hangingPunct="1">
            <a:lnSpc>
              <a:spcPct val="100000"/>
            </a:lnSpc>
            <a:spcBef>
              <a:spcPts val="0"/>
            </a:spcBef>
            <a:spcAft>
              <a:spcPts val="0"/>
            </a:spcAft>
            <a:buClrTx/>
            <a:buSzTx/>
            <a:buFontTx/>
            <a:buNone/>
            <a:tabLst/>
            <a:defRPr/>
          </a:pPr>
          <a:r>
            <a:rPr lang="en-GB" sz="1600" baseline="0"/>
            <a:t>6.The most costly product is white chocolate macadamia nut,less costly product is fortune cookie.</a:t>
          </a:r>
        </a:p>
        <a:p>
          <a:pPr marL="0" marR="0" lvl="0" indent="0" defTabSz="914400" eaLnBrk="1" fontAlgn="auto" latinLnBrk="0" hangingPunct="1">
            <a:lnSpc>
              <a:spcPct val="100000"/>
            </a:lnSpc>
            <a:spcBef>
              <a:spcPts val="0"/>
            </a:spcBef>
            <a:spcAft>
              <a:spcPts val="0"/>
            </a:spcAft>
            <a:buClrTx/>
            <a:buSzTx/>
            <a:buFontTx/>
            <a:buNone/>
            <a:tabLst/>
            <a:defRPr/>
          </a:pPr>
          <a:r>
            <a:rPr lang="en-GB" sz="1600" baseline="0"/>
            <a:t>7.There is strong relationship between product cost and quantity sold.</a:t>
          </a:r>
        </a:p>
        <a:p>
          <a:endParaRPr lang="en-GB" sz="16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234950</xdr:colOff>
      <xdr:row>4</xdr:row>
      <xdr:rowOff>171450</xdr:rowOff>
    </xdr:to>
    <xdr:sp macro="" textlink="">
      <xdr:nvSpPr>
        <xdr:cNvPr id="2" name="TextBox 1">
          <a:extLst>
            <a:ext uri="{FF2B5EF4-FFF2-40B4-BE49-F238E27FC236}">
              <a16:creationId xmlns:a16="http://schemas.microsoft.com/office/drawing/2014/main" id="{DBAE33AA-7056-4609-8904-98B0D727073B}"/>
            </a:ext>
          </a:extLst>
        </xdr:cNvPr>
        <xdr:cNvSpPr txBox="1"/>
      </xdr:nvSpPr>
      <xdr:spPr>
        <a:xfrm>
          <a:off x="0" y="0"/>
          <a:ext cx="6330950"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The senior managers at Divine Foods Inc. would like to better understand the sales figures, products and customers so they can improve their processes and sales.</a:t>
          </a:r>
        </a:p>
        <a:p>
          <a:r>
            <a:rPr lang="en-GB" sz="1100">
              <a:solidFill>
                <a:schemeClr val="dk1"/>
              </a:solidFill>
              <a:effectLst/>
              <a:latin typeface="+mn-lt"/>
              <a:ea typeface="+mn-ea"/>
              <a:cs typeface="+mn-cs"/>
            </a:rPr>
            <a:t>You have been tasked with the job of carrying out a complete analysis project of their data from last years first quarter (Jan-Mar 2022).</a:t>
          </a:r>
        </a:p>
        <a:p>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ra Ertas" refreshedDate="45357.735160416669" createdVersion="8" refreshedVersion="8" minRefreshableVersion="3" recordCount="134" xr:uid="{3D2D3B9A-3538-E142-9C08-3B7FC1BA81C5}">
  <cacheSource type="worksheet">
    <worksheetSource ref="A1:S135" sheet="Sales"/>
  </cacheSource>
  <cacheFields count="22">
    <cacheField name="OrderID" numFmtId="0">
      <sharedItems containsSemiMixedTypes="0" containsString="0" containsNumber="1" containsInteger="1" minValue="1" maxValue="50"/>
    </cacheField>
    <cacheField name="Date" numFmtId="14">
      <sharedItems containsSemiMixedTypes="0" containsNonDate="0" containsDate="1" containsString="0" minDate="2023-10-07T00:00:00" maxDate="2024-02-16T00:00:00" count="132">
        <d v="2023-10-18T00:00:00"/>
        <d v="2023-10-19T00:00:00"/>
        <d v="2023-10-20T00:00:00"/>
        <d v="2023-10-21T00:00:00"/>
        <d v="2023-11-11T00:00:00"/>
        <d v="2023-11-12T00:00:00"/>
        <d v="2023-11-13T00:00:00"/>
        <d v="2023-11-19T00:00:00"/>
        <d v="2023-11-20T00:00:00"/>
        <d v="2023-11-21T00:00:00"/>
        <d v="2023-12-28T00:00:00"/>
        <d v="2023-12-29T00:00:00"/>
        <d v="2023-12-30T00:00:00"/>
        <d v="2024-01-19T00:00:00"/>
        <d v="2024-01-22T00:00:00"/>
        <d v="2024-01-23T00:00:00"/>
        <d v="2024-01-25T00:00:00"/>
        <d v="2024-01-26T00:00:00"/>
        <d v="2024-01-27T00:00:00"/>
        <d v="2024-02-14T00:00:00"/>
        <d v="2023-10-13T00:00:00"/>
        <d v="2023-10-14T00:00:00"/>
        <d v="2023-10-15T00:00:00"/>
        <d v="2023-10-16T00:00:00"/>
        <d v="2023-10-17T00:00:00"/>
        <d v="2023-11-03T00:00:00"/>
        <d v="2023-11-04T00:00:00"/>
        <d v="2023-11-05T00:00:00"/>
        <d v="2023-11-06T00:00:00"/>
        <d v="2023-11-26T00:00:00"/>
        <d v="2023-11-27T00:00:00"/>
        <d v="2023-12-01T00:00:00"/>
        <d v="2023-12-02T00:00:00"/>
        <d v="2023-12-03T00:00:00"/>
        <d v="2023-12-08T00:00:00"/>
        <d v="2023-12-09T00:00:00"/>
        <d v="2023-12-10T00:00:00"/>
        <d v="2023-12-31T00:00:00"/>
        <d v="2024-01-01T00:00:00"/>
        <d v="2024-01-09T00:00:00"/>
        <d v="2024-01-10T00:00:00"/>
        <d v="2024-01-17T00:00:00"/>
        <d v="2024-01-18T00:00:00"/>
        <d v="2023-11-14T00:00:00"/>
        <d v="2023-11-15T00:00:00"/>
        <d v="2023-11-16T00:00:00"/>
        <d v="2023-11-17T00:00:00"/>
        <d v="2023-11-18T00:00:00"/>
        <d v="2023-11-22T00:00:00"/>
        <d v="2023-11-23T00:00:00"/>
        <d v="2023-11-24T00:00:00"/>
        <d v="2023-11-25T00:00:00"/>
        <d v="2023-11-28T00:00:00"/>
        <d v="2023-11-29T00:00:00"/>
        <d v="2023-12-11T00:00:00"/>
        <d v="2023-12-12T00:00:00"/>
        <d v="2023-12-13T00:00:00"/>
        <d v="2023-12-17T00:00:00"/>
        <d v="2023-12-18T00:00:00"/>
        <d v="2023-12-19T00:00:00"/>
        <d v="2024-01-06T00:00:00"/>
        <d v="2024-01-07T00:00:00"/>
        <d v="2024-01-08T00:00:00"/>
        <d v="2024-02-02T00:00:00"/>
        <d v="2024-02-03T00:00:00"/>
        <d v="2024-02-04T00:00:00"/>
        <d v="2024-02-05T00:00:00"/>
        <d v="2024-02-06T00:00:00"/>
        <d v="2024-02-07T00:00:00"/>
        <d v="2024-02-11T00:00:00"/>
        <d v="2024-02-12T00:00:00"/>
        <d v="2023-10-22T00:00:00"/>
        <d v="2023-10-23T00:00:00"/>
        <d v="2023-10-24T00:00:00"/>
        <d v="2023-10-25T00:00:00"/>
        <d v="2023-10-26T00:00:00"/>
        <d v="2023-10-27T00:00:00"/>
        <d v="2023-10-28T00:00:00"/>
        <d v="2023-11-07T00:00:00"/>
        <d v="2023-11-30T00:00:00"/>
        <d v="2023-12-05T00:00:00"/>
        <d v="2023-12-06T00:00:00"/>
        <d v="2023-12-07T00:00:00"/>
        <d v="2023-12-14T00:00:00"/>
        <d v="2023-12-15T00:00:00"/>
        <d v="2023-12-16T00:00:00"/>
        <d v="2023-12-20T00:00:00"/>
        <d v="2023-12-21T00:00:00"/>
        <d v="2023-12-22T00:00:00"/>
        <d v="2024-01-14T00:00:00"/>
        <d v="2024-01-15T00:00:00"/>
        <d v="2024-01-16T00:00:00"/>
        <d v="2024-02-13T00:00:00"/>
        <d v="2024-02-15T00:00:00"/>
        <d v="2023-10-07T00:00:00"/>
        <d v="2023-10-08T00:00:00"/>
        <d v="2023-10-09T00:00:00"/>
        <d v="2023-10-10T00:00:00"/>
        <d v="2023-10-11T00:00:00"/>
        <d v="2023-10-12T00:00:00"/>
        <d v="2023-10-29T00:00:00"/>
        <d v="2023-10-30T00:00:00"/>
        <d v="2023-10-31T00:00:00"/>
        <d v="2023-11-01T00:00:00"/>
        <d v="2023-11-02T00:00:00"/>
        <d v="2023-11-08T00:00:00"/>
        <d v="2023-11-09T00:00:00"/>
        <d v="2023-11-10T00:00:00"/>
        <d v="2023-12-04T00:00:00"/>
        <d v="2023-12-23T00:00:00"/>
        <d v="2023-12-24T00:00:00"/>
        <d v="2023-12-25T00:00:00"/>
        <d v="2023-12-26T00:00:00"/>
        <d v="2023-12-27T00:00:00"/>
        <d v="2024-01-02T00:00:00"/>
        <d v="2024-01-03T00:00:00"/>
        <d v="2024-01-04T00:00:00"/>
        <d v="2024-01-05T00:00:00"/>
        <d v="2024-01-11T00:00:00"/>
        <d v="2024-01-12T00:00:00"/>
        <d v="2024-01-13T00:00:00"/>
        <d v="2024-01-20T00:00:00"/>
        <d v="2024-01-21T00:00:00"/>
        <d v="2024-01-24T00:00:00"/>
        <d v="2024-01-28T00:00:00"/>
        <d v="2024-01-29T00:00:00"/>
        <d v="2024-01-30T00:00:00"/>
        <d v="2024-01-31T00:00:00"/>
        <d v="2024-02-01T00:00:00"/>
        <d v="2024-02-08T00:00:00"/>
        <d v="2024-02-09T00:00:00"/>
        <d v="2024-02-10T00:00:00"/>
      </sharedItems>
      <fieldGroup par="21"/>
    </cacheField>
    <cacheField name="OrderTotal" numFmtId="0">
      <sharedItems containsSemiMixedTypes="0" containsString="0" containsNumber="1" containsInteger="1" minValue="39" maxValue="3518"/>
    </cacheField>
    <cacheField name="CookieID" numFmtId="0">
      <sharedItems containsSemiMixedTypes="0" containsString="0" containsNumber="1" containsInteger="1" minValue="1" maxValue="6" count="6">
        <n v="4"/>
        <n v="3"/>
        <n v="2"/>
        <n v="5"/>
        <n v="1"/>
        <n v="6"/>
      </sharedItems>
    </cacheField>
    <cacheField name="CookieName" numFmtId="0">
      <sharedItems count="6">
        <s v="Snickerdoodle"/>
        <s v="Oatmeal Raisin"/>
        <s v="Fortune Cookie"/>
        <s v="Sugar"/>
        <s v="Chocolate Chip"/>
        <s v="White Chocolate Macadamia Nut"/>
      </sharedItems>
    </cacheField>
    <cacheField name="Price Per Cookie" numFmtId="44">
      <sharedItems containsSemiMixedTypes="0" containsString="0" containsNumber="1" containsInteger="1" minValue="1" maxValue="6"/>
    </cacheField>
    <cacheField name="CostPerCookie" numFmtId="44">
      <sharedItems containsSemiMixedTypes="0" containsString="0" containsNumber="1" minValue="0.5" maxValue="2.75"/>
    </cacheField>
    <cacheField name="Quantity Sold" numFmtId="0">
      <sharedItems containsSemiMixedTypes="0" containsString="0" containsNumber="1" containsInteger="1" minValue="11" maxValue="245" count="105">
        <n v="82"/>
        <n v="25"/>
        <n v="209"/>
        <n v="171"/>
        <n v="197"/>
        <n v="234"/>
        <n v="78"/>
        <n v="26"/>
        <n v="227"/>
        <n v="152"/>
        <n v="169"/>
        <n v="204"/>
        <n v="137"/>
        <n v="13"/>
        <n v="87"/>
        <n v="123"/>
        <n v="217"/>
        <n v="120"/>
        <n v="147"/>
        <n v="180"/>
        <n v="18"/>
        <n v="202"/>
        <n v="170"/>
        <n v="226"/>
        <n v="99"/>
        <n v="119"/>
        <n v="153"/>
        <n v="129"/>
        <n v="56"/>
        <n v="235"/>
        <n v="244"/>
        <n v="132"/>
        <n v="27"/>
        <n v="168"/>
        <n v="151"/>
        <n v="229"/>
        <n v="196"/>
        <n v="200"/>
        <n v="136"/>
        <n v="245"/>
        <n v="193"/>
        <n v="225"/>
        <n v="201"/>
        <n v="239"/>
        <n v="48"/>
        <n v="109"/>
        <n v="61"/>
        <n v="199"/>
        <n v="63"/>
        <n v="122"/>
        <n v="214"/>
        <n v="179"/>
        <n v="66"/>
        <n v="103"/>
        <n v="173"/>
        <n v="155"/>
        <n v="20"/>
        <n v="144"/>
        <n v="224"/>
        <n v="45"/>
        <n v="11"/>
        <n v="46"/>
        <n v="51"/>
        <n v="24"/>
        <n v="210"/>
        <n v="39"/>
        <n v="183"/>
        <n v="141"/>
        <n v="241"/>
        <n v="176"/>
        <n v="42"/>
        <n v="166"/>
        <n v="134"/>
        <n v="172"/>
        <n v="116"/>
        <n v="127"/>
        <n v="101"/>
        <n v="131"/>
        <n v="30"/>
        <n v="160"/>
        <n v="84"/>
        <n v="49"/>
        <n v="128"/>
        <n v="114"/>
        <n v="106"/>
        <n v="178"/>
        <n v="36"/>
        <n v="186"/>
        <n v="65"/>
        <n v="53"/>
        <n v="74"/>
        <n v="80"/>
        <n v="94"/>
        <n v="96"/>
        <n v="17"/>
        <n v="79"/>
        <n v="93"/>
        <n v="113"/>
        <n v="34"/>
        <n v="164"/>
        <n v="14"/>
        <n v="125"/>
        <n v="220"/>
        <n v="177"/>
        <n v="69"/>
      </sharedItems>
    </cacheField>
    <cacheField name="Sales Price" numFmtId="164">
      <sharedItems containsSemiMixedTypes="0" containsString="0" containsNumber="1" containsInteger="1" minValue="33" maxValue="1410"/>
    </cacheField>
    <cacheField name="Cost" numFmtId="164">
      <sharedItems containsSemiMixedTypes="0" containsString="0" containsNumber="1" minValue="13.75" maxValue="646.25"/>
    </cacheField>
    <cacheField name="Profit" numFmtId="164">
      <sharedItems containsSemiMixedTypes="0" containsString="0" containsNumber="1" minValue="19.25" maxValue="763.75"/>
    </cacheField>
    <cacheField name="BuyerID" numFmtId="0">
      <sharedItems containsSemiMixedTypes="0" containsString="0" containsNumber="1" containsInteger="1" minValue="1" maxValue="5"/>
    </cacheField>
    <cacheField name="Company" numFmtId="0">
      <sharedItems/>
    </cacheField>
    <cacheField name="City" numFmtId="0">
      <sharedItems count="5">
        <s v="Seattle"/>
        <s v="Salt Lake City"/>
        <s v="Green Bay"/>
        <s v="Huntington"/>
        <s v="Mobile"/>
      </sharedItems>
    </cacheField>
    <cacheField name="State" numFmtId="0">
      <sharedItems/>
    </cacheField>
    <cacheField name="Zip" numFmtId="0">
      <sharedItems containsSemiMixedTypes="0" containsString="0" containsNumber="1" containsInteger="1" minValue="11743" maxValue="98112"/>
    </cacheField>
    <cacheField name="Country" numFmtId="0">
      <sharedItems/>
    </cacheField>
    <cacheField name="Notes" numFmtId="0">
      <sharedItems/>
    </cacheField>
    <cacheField name="Customer Code" numFmtId="0">
      <sharedItems containsSemiMixedTypes="0" containsString="0" containsNumber="1" containsInteger="1" minValue="1" maxValue="5"/>
    </cacheField>
    <cacheField name="Months (Date)" numFmtId="0" databaseField="0">
      <fieldGroup base="1">
        <rangePr groupBy="months" startDate="2023-10-07T00:00:00" endDate="2024-02-16T00:00:00"/>
        <groupItems count="14">
          <s v="&lt;07/10/2023"/>
          <s v="Jan"/>
          <s v="Feb"/>
          <s v="Mar"/>
          <s v="Apr"/>
          <s v="May"/>
          <s v="Jun"/>
          <s v="Jul"/>
          <s v="Aug"/>
          <s v="Sep"/>
          <s v="Oct"/>
          <s v="Nov"/>
          <s v="Dec"/>
          <s v="&gt;16/02/2024"/>
        </groupItems>
      </fieldGroup>
    </cacheField>
    <cacheField name="Quarters (Date)" numFmtId="0" databaseField="0">
      <fieldGroup base="1">
        <rangePr groupBy="quarters" startDate="2023-10-07T00:00:00" endDate="2024-02-16T00:00:00"/>
        <groupItems count="6">
          <s v="&lt;07/10/2023"/>
          <s v="Qtr1"/>
          <s v="Qtr2"/>
          <s v="Qtr3"/>
          <s v="Qtr4"/>
          <s v="&gt;16/02/2024"/>
        </groupItems>
      </fieldGroup>
    </cacheField>
    <cacheField name="Years (Date)" numFmtId="0" databaseField="0">
      <fieldGroup base="1">
        <rangePr groupBy="years" startDate="2023-10-07T00:00:00" endDate="2024-02-16T00:00:00"/>
        <groupItems count="4">
          <s v="&lt;07/10/2023"/>
          <s v="2023"/>
          <s v="2024"/>
          <s v="&gt;16/02/2024"/>
        </groupItems>
      </fieldGroup>
    </cacheField>
  </cacheFields>
  <extLst>
    <ext xmlns:x14="http://schemas.microsoft.com/office/spreadsheetml/2009/9/main" uri="{725AE2AE-9491-48be-B2B4-4EB974FC3084}">
      <x14:pivotCacheDefinition pivotCacheId="13352336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ra Ertas" refreshedDate="45357.788656481483" createdVersion="8" refreshedVersion="8" minRefreshableVersion="3" recordCount="134" xr:uid="{589B82D9-4900-F942-AB65-5D5098E0EC6B}">
  <cacheSource type="worksheet">
    <worksheetSource ref="A1:B135" sheet="Profit Per Customer Type"/>
  </cacheSource>
  <cacheFields count="2">
    <cacheField name="Profit" numFmtId="0">
      <sharedItems containsSemiMixedTypes="0" containsString="0" containsNumber="1" minValue="19.25" maxValue="763.75"/>
    </cacheField>
    <cacheField name="Customer Code" numFmtId="0">
      <sharedItems containsSemiMixedTypes="0" containsString="0" containsNumber="1" containsInteger="1" minValue="1" maxValue="5" count="5">
        <n v="1"/>
        <n v="2"/>
        <n v="3"/>
        <n v="4"/>
        <n v="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n v="4"/>
    <x v="0"/>
    <n v="737"/>
    <x v="0"/>
    <x v="0"/>
    <n v="4"/>
    <n v="1.5"/>
    <x v="0"/>
    <n v="328"/>
    <n v="123"/>
    <n v="205"/>
    <n v="1"/>
    <s v="Tres Delicious"/>
    <x v="0"/>
    <s v="WA"/>
    <n v="98112"/>
    <s v="United States"/>
    <s v="High maintenance, not sure if it's worth having them as a customer, but don't tell them that!"/>
    <n v="1"/>
  </r>
  <r>
    <n v="4"/>
    <x v="1"/>
    <n v="737"/>
    <x v="1"/>
    <x v="1"/>
    <n v="5"/>
    <n v="2.2000000000000002"/>
    <x v="1"/>
    <n v="125"/>
    <n v="55.000000000000007"/>
    <n v="70"/>
    <n v="1"/>
    <s v="Tres Delicious"/>
    <x v="0"/>
    <s v="WA"/>
    <n v="98112"/>
    <s v="United States"/>
    <s v="High maintenance, not sure if it's worth having them as a customer, but don't tell them that!"/>
    <n v="1"/>
  </r>
  <r>
    <n v="4"/>
    <x v="2"/>
    <n v="737"/>
    <x v="2"/>
    <x v="2"/>
    <n v="1"/>
    <n v="0.5"/>
    <x v="2"/>
    <n v="209"/>
    <n v="104.5"/>
    <n v="104.5"/>
    <n v="1"/>
    <s v="Tres Delicious"/>
    <x v="0"/>
    <s v="WA"/>
    <n v="98112"/>
    <s v="United States"/>
    <s v="High maintenance, not sure if it's worth having them as a customer, but don't tell them that!"/>
    <n v="1"/>
  </r>
  <r>
    <n v="4"/>
    <x v="3"/>
    <n v="737"/>
    <x v="3"/>
    <x v="3"/>
    <n v="3"/>
    <n v="1.25"/>
    <x v="1"/>
    <n v="75"/>
    <n v="31.25"/>
    <n v="43.75"/>
    <n v="1"/>
    <s v="Tres Delicious"/>
    <x v="0"/>
    <s v="WA"/>
    <n v="98112"/>
    <s v="United States"/>
    <s v="High maintenance, not sure if it's worth having them as a customer, but don't tell them that!"/>
    <n v="1"/>
  </r>
  <r>
    <n v="12"/>
    <x v="4"/>
    <n v="1680"/>
    <x v="4"/>
    <x v="4"/>
    <n v="5"/>
    <n v="2"/>
    <x v="3"/>
    <n v="855"/>
    <n v="342"/>
    <n v="513"/>
    <n v="1"/>
    <s v="Tres Delicious"/>
    <x v="0"/>
    <s v="WA"/>
    <n v="98112"/>
    <s v="United States"/>
    <s v="High maintenance, not sure if it's worth having them as a customer, but don't tell them that!"/>
    <n v="1"/>
  </r>
  <r>
    <n v="12"/>
    <x v="5"/>
    <n v="1680"/>
    <x v="3"/>
    <x v="3"/>
    <n v="3"/>
    <n v="1.25"/>
    <x v="4"/>
    <n v="591"/>
    <n v="246.25"/>
    <n v="344.75"/>
    <n v="1"/>
    <s v="Tres Delicious"/>
    <x v="0"/>
    <s v="WA"/>
    <n v="98112"/>
    <s v="United States"/>
    <s v="High maintenance, not sure if it's worth having them as a customer, but don't tell them that!"/>
    <n v="1"/>
  </r>
  <r>
    <n v="12"/>
    <x v="6"/>
    <n v="1680"/>
    <x v="2"/>
    <x v="2"/>
    <n v="1"/>
    <n v="0.5"/>
    <x v="5"/>
    <n v="234"/>
    <n v="117"/>
    <n v="117"/>
    <n v="1"/>
    <s v="Tres Delicious"/>
    <x v="0"/>
    <s v="WA"/>
    <n v="98112"/>
    <s v="United States"/>
    <s v="High maintenance, not sure if it's worth having them as a customer, but don't tell them that!"/>
    <n v="1"/>
  </r>
  <r>
    <n v="14"/>
    <x v="7"/>
    <n v="773"/>
    <x v="1"/>
    <x v="1"/>
    <n v="5"/>
    <n v="2.2000000000000002"/>
    <x v="6"/>
    <n v="390"/>
    <n v="171.60000000000002"/>
    <n v="218.39999999999998"/>
    <n v="1"/>
    <s v="Tres Delicious"/>
    <x v="0"/>
    <s v="WA"/>
    <n v="98112"/>
    <s v="United States"/>
    <s v="High maintenance, not sure if it's worth having them as a customer, but don't tell them that!"/>
    <n v="1"/>
  </r>
  <r>
    <n v="14"/>
    <x v="8"/>
    <n v="773"/>
    <x v="5"/>
    <x v="5"/>
    <n v="6"/>
    <n v="2.75"/>
    <x v="7"/>
    <n v="156"/>
    <n v="71.5"/>
    <n v="84.5"/>
    <n v="1"/>
    <s v="Tres Delicious"/>
    <x v="0"/>
    <s v="WA"/>
    <n v="98112"/>
    <s v="United States"/>
    <s v="High maintenance, not sure if it's worth having them as a customer, but don't tell them that!"/>
    <n v="1"/>
  </r>
  <r>
    <n v="14"/>
    <x v="9"/>
    <n v="773"/>
    <x v="2"/>
    <x v="2"/>
    <n v="1"/>
    <n v="0.5"/>
    <x v="8"/>
    <n v="227"/>
    <n v="113.5"/>
    <n v="113.5"/>
    <n v="1"/>
    <s v="Tres Delicious"/>
    <x v="0"/>
    <s v="WA"/>
    <n v="98112"/>
    <s v="United States"/>
    <s v="High maintenance, not sure if it's worth having them as a customer, but don't tell them that!"/>
    <n v="1"/>
  </r>
  <r>
    <n v="30"/>
    <x v="10"/>
    <n v="2117"/>
    <x v="3"/>
    <x v="3"/>
    <n v="3"/>
    <n v="1.25"/>
    <x v="9"/>
    <n v="456"/>
    <n v="190"/>
    <n v="266"/>
    <n v="1"/>
    <s v="Tres Delicious"/>
    <x v="0"/>
    <s v="WA"/>
    <n v="98112"/>
    <s v="United States"/>
    <s v="High maintenance, not sure if it's worth having them as a customer, but don't tell them that!"/>
    <n v="1"/>
  </r>
  <r>
    <n v="30"/>
    <x v="11"/>
    <n v="2117"/>
    <x v="4"/>
    <x v="4"/>
    <n v="5"/>
    <n v="2"/>
    <x v="10"/>
    <n v="845"/>
    <n v="338"/>
    <n v="507"/>
    <n v="1"/>
    <s v="Tres Delicious"/>
    <x v="0"/>
    <s v="WA"/>
    <n v="98112"/>
    <s v="United States"/>
    <s v="High maintenance, not sure if it's worth having them as a customer, but don't tell them that!"/>
    <n v="1"/>
  </r>
  <r>
    <n v="30"/>
    <x v="12"/>
    <n v="2117"/>
    <x v="0"/>
    <x v="0"/>
    <n v="4"/>
    <n v="1.5"/>
    <x v="11"/>
    <n v="816"/>
    <n v="306"/>
    <n v="510"/>
    <n v="1"/>
    <s v="Tres Delicious"/>
    <x v="0"/>
    <s v="WA"/>
    <n v="98112"/>
    <s v="United States"/>
    <s v="High maintenance, not sure if it's worth having them as a customer, but don't tell them that!"/>
    <n v="1"/>
  </r>
  <r>
    <n v="38"/>
    <x v="13"/>
    <n v="685"/>
    <x v="4"/>
    <x v="4"/>
    <n v="5"/>
    <n v="2"/>
    <x v="12"/>
    <n v="685"/>
    <n v="274"/>
    <n v="411"/>
    <n v="1"/>
    <s v="Tres Delicious"/>
    <x v="0"/>
    <s v="WA"/>
    <n v="98112"/>
    <s v="United States"/>
    <s v="High maintenance, not sure if it's worth having them as a customer, but don't tell them that!"/>
    <n v="1"/>
  </r>
  <r>
    <n v="40"/>
    <x v="14"/>
    <n v="487"/>
    <x v="0"/>
    <x v="0"/>
    <n v="4"/>
    <n v="1.5"/>
    <x v="13"/>
    <n v="52"/>
    <n v="19.5"/>
    <n v="32.5"/>
    <n v="1"/>
    <s v="Tres Delicious"/>
    <x v="0"/>
    <s v="WA"/>
    <n v="98112"/>
    <s v="United States"/>
    <s v="High maintenance, not sure if it's worth having them as a customer, but don't tell them that!"/>
    <n v="1"/>
  </r>
  <r>
    <n v="40"/>
    <x v="15"/>
    <n v="487"/>
    <x v="1"/>
    <x v="1"/>
    <n v="5"/>
    <n v="2.2000000000000002"/>
    <x v="14"/>
    <n v="435"/>
    <n v="191.4"/>
    <n v="243.6"/>
    <n v="1"/>
    <s v="Tres Delicious"/>
    <x v="0"/>
    <s v="WA"/>
    <n v="98112"/>
    <s v="United States"/>
    <s v="High maintenance, not sure if it's worth having them as a customer, but don't tell them that!"/>
    <n v="1"/>
  </r>
  <r>
    <n v="42"/>
    <x v="16"/>
    <n v="1351"/>
    <x v="2"/>
    <x v="2"/>
    <n v="1"/>
    <n v="0.5"/>
    <x v="15"/>
    <n v="123"/>
    <n v="61.5"/>
    <n v="61.5"/>
    <n v="1"/>
    <s v="Tres Delicious"/>
    <x v="0"/>
    <s v="WA"/>
    <n v="98112"/>
    <s v="United States"/>
    <s v="High maintenance, not sure if it's worth having them as a customer, but don't tell them that!"/>
    <n v="1"/>
  </r>
  <r>
    <n v="42"/>
    <x v="17"/>
    <n v="1351"/>
    <x v="0"/>
    <x v="0"/>
    <n v="4"/>
    <n v="1.5"/>
    <x v="16"/>
    <n v="868"/>
    <n v="325.5"/>
    <n v="542.5"/>
    <n v="1"/>
    <s v="Tres Delicious"/>
    <x v="0"/>
    <s v="WA"/>
    <n v="98112"/>
    <s v="United States"/>
    <s v="High maintenance, not sure if it's worth having them as a customer, but don't tell them that!"/>
    <n v="1"/>
  </r>
  <r>
    <n v="42"/>
    <x v="18"/>
    <n v="1351"/>
    <x v="3"/>
    <x v="3"/>
    <n v="3"/>
    <n v="1.25"/>
    <x v="17"/>
    <n v="360"/>
    <n v="150"/>
    <n v="210"/>
    <n v="1"/>
    <s v="Tres Delicious"/>
    <x v="0"/>
    <s v="WA"/>
    <n v="98112"/>
    <s v="United States"/>
    <s v="High maintenance, not sure if it's worth having them as a customer, but don't tell them that!"/>
    <n v="1"/>
  </r>
  <r>
    <n v="49"/>
    <x v="19"/>
    <n v="588"/>
    <x v="0"/>
    <x v="0"/>
    <n v="4"/>
    <n v="1.5"/>
    <x v="18"/>
    <n v="588"/>
    <n v="220.5"/>
    <n v="367.5"/>
    <n v="1"/>
    <s v="Tres Delicious"/>
    <x v="0"/>
    <s v="WA"/>
    <n v="98112"/>
    <s v="United States"/>
    <s v="High maintenance, not sure if it's worth having them as a customer, but don't tell them that!"/>
    <n v="1"/>
  </r>
  <r>
    <n v="3"/>
    <x v="20"/>
    <n v="2238"/>
    <x v="4"/>
    <x v="4"/>
    <n v="5"/>
    <n v="2"/>
    <x v="0"/>
    <n v="410"/>
    <n v="164"/>
    <n v="246"/>
    <n v="2"/>
    <s v="ABC Groceries"/>
    <x v="1"/>
    <s v="UT"/>
    <n v="84113"/>
    <s v="United States"/>
    <s v="Friendly but a little old school. Talks way too much, set a time limit on calls."/>
    <n v="2"/>
  </r>
  <r>
    <n v="3"/>
    <x v="21"/>
    <n v="2238"/>
    <x v="3"/>
    <x v="3"/>
    <n v="3"/>
    <n v="1.25"/>
    <x v="19"/>
    <n v="540"/>
    <n v="225"/>
    <n v="315"/>
    <n v="2"/>
    <s v="ABC Groceries"/>
    <x v="1"/>
    <s v="UT"/>
    <n v="84113"/>
    <s v="United States"/>
    <s v="Friendly but a little old school. Talks way too much, set a time limit on calls."/>
    <n v="2"/>
  </r>
  <r>
    <n v="3"/>
    <x v="22"/>
    <n v="2238"/>
    <x v="5"/>
    <x v="5"/>
    <n v="6"/>
    <n v="2.75"/>
    <x v="20"/>
    <n v="108"/>
    <n v="49.5"/>
    <n v="58.5"/>
    <n v="2"/>
    <s v="ABC Groceries"/>
    <x v="1"/>
    <s v="UT"/>
    <n v="84113"/>
    <s v="United States"/>
    <s v="Friendly but a little old school. Talks way too much, set a time limit on calls."/>
    <n v="2"/>
  </r>
  <r>
    <n v="3"/>
    <x v="23"/>
    <n v="2238"/>
    <x v="1"/>
    <x v="1"/>
    <n v="5"/>
    <n v="2.2000000000000002"/>
    <x v="21"/>
    <n v="1010"/>
    <n v="444.40000000000003"/>
    <n v="565.59999999999991"/>
    <n v="2"/>
    <s v="ABC Groceries"/>
    <x v="1"/>
    <s v="UT"/>
    <n v="84113"/>
    <s v="United States"/>
    <s v="Friendly but a little old school. Talks way too much, set a time limit on calls."/>
    <n v="2"/>
  </r>
  <r>
    <n v="3"/>
    <x v="24"/>
    <n v="2238"/>
    <x v="2"/>
    <x v="2"/>
    <n v="1"/>
    <n v="0.5"/>
    <x v="22"/>
    <n v="170"/>
    <n v="85"/>
    <n v="85"/>
    <n v="2"/>
    <s v="ABC Groceries"/>
    <x v="1"/>
    <s v="UT"/>
    <n v="84113"/>
    <s v="United States"/>
    <s v="Friendly but a little old school. Talks way too much, set a time limit on calls."/>
    <n v="2"/>
  </r>
  <r>
    <n v="3"/>
    <x v="22"/>
    <n v="2238"/>
    <x v="5"/>
    <x v="5"/>
    <n v="6"/>
    <n v="2.75"/>
    <x v="20"/>
    <n v="108"/>
    <n v="49.5"/>
    <n v="58.5"/>
    <n v="2"/>
    <s v="ABC Groceries"/>
    <x v="1"/>
    <s v="UT"/>
    <n v="84113"/>
    <s v="United States"/>
    <s v="Friendly but a little old school. Talks way too much, set a time limit on calls."/>
    <n v="2"/>
  </r>
  <r>
    <n v="3"/>
    <x v="23"/>
    <n v="2238"/>
    <x v="1"/>
    <x v="1"/>
    <n v="5"/>
    <n v="2.2000000000000002"/>
    <x v="21"/>
    <n v="1010"/>
    <n v="444.40000000000003"/>
    <n v="565.59999999999991"/>
    <n v="2"/>
    <s v="ABC Groceries"/>
    <x v="1"/>
    <s v="UT"/>
    <n v="84113"/>
    <s v="United States"/>
    <s v="Friendly but a little old school. Talks way too much, set a time limit on calls."/>
    <n v="2"/>
  </r>
  <r>
    <n v="9"/>
    <x v="25"/>
    <n v="1982"/>
    <x v="2"/>
    <x v="2"/>
    <n v="1"/>
    <n v="0.5"/>
    <x v="23"/>
    <n v="226"/>
    <n v="113"/>
    <n v="113"/>
    <n v="2"/>
    <s v="ABC Groceries"/>
    <x v="1"/>
    <s v="UT"/>
    <n v="84113"/>
    <s v="United States"/>
    <s v="Friendly but a little old school. Talks way too much, set a time limit on calls."/>
    <n v="2"/>
  </r>
  <r>
    <n v="9"/>
    <x v="26"/>
    <n v="1982"/>
    <x v="0"/>
    <x v="0"/>
    <n v="4"/>
    <n v="1.5"/>
    <x v="24"/>
    <n v="396"/>
    <n v="148.5"/>
    <n v="247.5"/>
    <n v="2"/>
    <s v="ABC Groceries"/>
    <x v="1"/>
    <s v="UT"/>
    <n v="84113"/>
    <s v="United States"/>
    <s v="Friendly but a little old school. Talks way too much, set a time limit on calls."/>
    <n v="2"/>
  </r>
  <r>
    <n v="9"/>
    <x v="27"/>
    <n v="1982"/>
    <x v="4"/>
    <x v="4"/>
    <n v="5"/>
    <n v="2"/>
    <x v="25"/>
    <n v="595"/>
    <n v="238"/>
    <n v="357"/>
    <n v="2"/>
    <s v="ABC Groceries"/>
    <x v="1"/>
    <s v="UT"/>
    <n v="84113"/>
    <s v="United States"/>
    <s v="Friendly but a little old school. Talks way too much, set a time limit on calls."/>
    <n v="2"/>
  </r>
  <r>
    <n v="9"/>
    <x v="28"/>
    <n v="1982"/>
    <x v="1"/>
    <x v="1"/>
    <n v="5"/>
    <n v="2.2000000000000002"/>
    <x v="26"/>
    <n v="765"/>
    <n v="336.6"/>
    <n v="428.4"/>
    <n v="2"/>
    <s v="ABC Groceries"/>
    <x v="1"/>
    <s v="UT"/>
    <n v="84113"/>
    <s v="United States"/>
    <s v="Friendly but a little old school. Talks way too much, set a time limit on calls."/>
    <n v="2"/>
  </r>
  <r>
    <n v="16"/>
    <x v="29"/>
    <n v="998"/>
    <x v="5"/>
    <x v="5"/>
    <n v="6"/>
    <n v="2.75"/>
    <x v="27"/>
    <n v="774"/>
    <n v="354.75"/>
    <n v="419.25"/>
    <n v="2"/>
    <s v="ABC Groceries"/>
    <x v="1"/>
    <s v="UT"/>
    <n v="84113"/>
    <s v="United States"/>
    <s v="Friendly but a little old school. Talks way too much, set a time limit on calls."/>
    <n v="2"/>
  </r>
  <r>
    <n v="16"/>
    <x v="30"/>
    <n v="998"/>
    <x v="0"/>
    <x v="0"/>
    <n v="4"/>
    <n v="1.5"/>
    <x v="28"/>
    <n v="224"/>
    <n v="84"/>
    <n v="140"/>
    <n v="2"/>
    <s v="ABC Groceries"/>
    <x v="1"/>
    <s v="UT"/>
    <n v="84113"/>
    <s v="United States"/>
    <s v="Friendly but a little old school. Talks way too much, set a time limit on calls."/>
    <n v="2"/>
  </r>
  <r>
    <n v="19"/>
    <x v="31"/>
    <n v="1410"/>
    <x v="5"/>
    <x v="5"/>
    <n v="6"/>
    <n v="2.75"/>
    <x v="29"/>
    <n v="1410"/>
    <n v="646.25"/>
    <n v="763.75"/>
    <n v="2"/>
    <s v="ABC Groceries"/>
    <x v="1"/>
    <s v="UT"/>
    <n v="84113"/>
    <s v="United States"/>
    <s v="Friendly but a little old school. Talks way too much, set a time limit on calls."/>
    <n v="2"/>
  </r>
  <r>
    <n v="20"/>
    <x v="32"/>
    <n v="1955"/>
    <x v="1"/>
    <x v="1"/>
    <n v="5"/>
    <n v="2.2000000000000002"/>
    <x v="18"/>
    <n v="735"/>
    <n v="323.40000000000003"/>
    <n v="411.59999999999997"/>
    <n v="2"/>
    <s v="ABC Groceries"/>
    <x v="1"/>
    <s v="UT"/>
    <n v="84113"/>
    <s v="United States"/>
    <s v="Friendly but a little old school. Talks way too much, set a time limit on calls."/>
    <n v="2"/>
  </r>
  <r>
    <n v="20"/>
    <x v="33"/>
    <n v="1955"/>
    <x v="4"/>
    <x v="4"/>
    <n v="5"/>
    <n v="2"/>
    <x v="30"/>
    <n v="1220"/>
    <n v="488"/>
    <n v="732"/>
    <n v="2"/>
    <s v="ABC Groceries"/>
    <x v="1"/>
    <s v="UT"/>
    <n v="84113"/>
    <s v="United States"/>
    <s v="Friendly but a little old school. Talks way too much, set a time limit on calls."/>
    <n v="2"/>
  </r>
  <r>
    <n v="23"/>
    <x v="34"/>
    <n v="1776"/>
    <x v="4"/>
    <x v="4"/>
    <n v="5"/>
    <n v="2"/>
    <x v="31"/>
    <n v="660"/>
    <n v="264"/>
    <n v="396"/>
    <n v="2"/>
    <s v="ABC Groceries"/>
    <x v="1"/>
    <s v="UT"/>
    <n v="84113"/>
    <s v="United States"/>
    <s v="Friendly but a little old school. Talks way too much, set a time limit on calls."/>
    <n v="2"/>
  </r>
  <r>
    <n v="23"/>
    <x v="35"/>
    <n v="1776"/>
    <x v="0"/>
    <x v="0"/>
    <n v="4"/>
    <n v="1.5"/>
    <x v="32"/>
    <n v="108"/>
    <n v="40.5"/>
    <n v="67.5"/>
    <n v="2"/>
    <s v="ABC Groceries"/>
    <x v="1"/>
    <s v="UT"/>
    <n v="84113"/>
    <s v="United States"/>
    <s v="Friendly but a little old school. Talks way too much, set a time limit on calls."/>
    <n v="2"/>
  </r>
  <r>
    <n v="23"/>
    <x v="36"/>
    <n v="1776"/>
    <x v="5"/>
    <x v="5"/>
    <n v="6"/>
    <n v="2.75"/>
    <x v="33"/>
    <n v="1008"/>
    <n v="462"/>
    <n v="546"/>
    <n v="2"/>
    <s v="ABC Groceries"/>
    <x v="1"/>
    <s v="UT"/>
    <n v="84113"/>
    <s v="United States"/>
    <s v="Friendly but a little old school. Talks way too much, set a time limit on calls."/>
    <n v="2"/>
  </r>
  <r>
    <n v="31"/>
    <x v="37"/>
    <n v="1900"/>
    <x v="4"/>
    <x v="4"/>
    <n v="5"/>
    <n v="2"/>
    <x v="34"/>
    <n v="755"/>
    <n v="302"/>
    <n v="453"/>
    <n v="2"/>
    <s v="ABC Groceries"/>
    <x v="1"/>
    <s v="UT"/>
    <n v="84113"/>
    <s v="United States"/>
    <s v="Friendly but a little old school. Talks way too much, set a time limit on calls."/>
    <n v="2"/>
  </r>
  <r>
    <n v="31"/>
    <x v="38"/>
    <n v="1900"/>
    <x v="1"/>
    <x v="1"/>
    <n v="5"/>
    <n v="2.2000000000000002"/>
    <x v="35"/>
    <n v="1145"/>
    <n v="503.80000000000007"/>
    <n v="641.19999999999993"/>
    <n v="2"/>
    <s v="ABC Groceries"/>
    <x v="1"/>
    <s v="UT"/>
    <n v="84113"/>
    <s v="United States"/>
    <s v="Friendly but a little old school. Talks way too much, set a time limit on calls."/>
    <n v="2"/>
  </r>
  <r>
    <n v="34"/>
    <x v="39"/>
    <n v="1196"/>
    <x v="2"/>
    <x v="2"/>
    <n v="1"/>
    <n v="0.5"/>
    <x v="36"/>
    <n v="196"/>
    <n v="98"/>
    <n v="98"/>
    <n v="2"/>
    <s v="ABC Groceries"/>
    <x v="1"/>
    <s v="UT"/>
    <n v="84113"/>
    <s v="United States"/>
    <s v="Friendly but a little old school. Talks way too much, set a time limit on calls."/>
    <n v="2"/>
  </r>
  <r>
    <n v="34"/>
    <x v="40"/>
    <n v="1196"/>
    <x v="4"/>
    <x v="4"/>
    <n v="5"/>
    <n v="2"/>
    <x v="37"/>
    <n v="1000"/>
    <n v="400"/>
    <n v="600"/>
    <n v="2"/>
    <s v="ABC Groceries"/>
    <x v="1"/>
    <s v="UT"/>
    <n v="84113"/>
    <s v="United States"/>
    <s v="Friendly but a little old school. Talks way too much, set a time limit on calls."/>
    <n v="2"/>
  </r>
  <r>
    <n v="37"/>
    <x v="41"/>
    <n v="1415"/>
    <x v="4"/>
    <x v="4"/>
    <n v="5"/>
    <n v="2"/>
    <x v="38"/>
    <n v="680"/>
    <n v="272"/>
    <n v="408"/>
    <n v="2"/>
    <s v="ABC Groceries"/>
    <x v="1"/>
    <s v="UT"/>
    <n v="84113"/>
    <s v="United States"/>
    <s v="Friendly but a little old school. Talks way too much, set a time limit on calls."/>
    <n v="2"/>
  </r>
  <r>
    <n v="37"/>
    <x v="42"/>
    <n v="1415"/>
    <x v="3"/>
    <x v="3"/>
    <n v="3"/>
    <n v="1.25"/>
    <x v="39"/>
    <n v="735"/>
    <n v="306.25"/>
    <n v="428.75"/>
    <n v="2"/>
    <s v="ABC Groceries"/>
    <x v="1"/>
    <s v="UT"/>
    <n v="84113"/>
    <s v="United States"/>
    <s v="Friendly but a little old school. Talks way too much, set a time limit on calls."/>
    <n v="2"/>
  </r>
  <r>
    <n v="13"/>
    <x v="43"/>
    <n v="3293"/>
    <x v="2"/>
    <x v="2"/>
    <n v="1"/>
    <n v="0.5"/>
    <x v="40"/>
    <n v="193"/>
    <n v="96.5"/>
    <n v="96.5"/>
    <n v="3"/>
    <s v="ACME Bites"/>
    <x v="2"/>
    <s v="WI"/>
    <n v="54303"/>
    <s v="United States"/>
    <s v="One of our best customers! Likes to talk about roses. Make sure to read all about roses on Wikipedia before meeting."/>
    <n v="3"/>
  </r>
  <r>
    <n v="13"/>
    <x v="44"/>
    <n v="3293"/>
    <x v="0"/>
    <x v="0"/>
    <n v="4"/>
    <n v="1.5"/>
    <x v="41"/>
    <n v="900"/>
    <n v="337.5"/>
    <n v="562.5"/>
    <n v="3"/>
    <s v="ACME Bites"/>
    <x v="2"/>
    <s v="WI"/>
    <n v="54303"/>
    <s v="United States"/>
    <s v="One of our best customers! Likes to talk about roses. Make sure to read all about roses on Wikipedia before meeting."/>
    <n v="3"/>
  </r>
  <r>
    <n v="13"/>
    <x v="45"/>
    <n v="3293"/>
    <x v="4"/>
    <x v="4"/>
    <n v="5"/>
    <n v="2"/>
    <x v="42"/>
    <n v="1005"/>
    <n v="402"/>
    <n v="603"/>
    <n v="3"/>
    <s v="ACME Bites"/>
    <x v="2"/>
    <s v="WI"/>
    <n v="54303"/>
    <s v="United States"/>
    <s v="One of our best customers! Likes to talk about roses. Make sure to read all about roses on Wikipedia before meeting."/>
    <n v="3"/>
  </r>
  <r>
    <n v="13"/>
    <x v="46"/>
    <n v="3293"/>
    <x v="2"/>
    <x v="2"/>
    <n v="1"/>
    <n v="0.5"/>
    <x v="40"/>
    <n v="193"/>
    <n v="96.5"/>
    <n v="96.5"/>
    <n v="3"/>
    <s v="ACME Bites"/>
    <x v="2"/>
    <s v="WI"/>
    <n v="54303"/>
    <s v="United States"/>
    <s v="One of our best customers! Likes to talk about roses. Make sure to read all about roses on Wikipedia before meeting."/>
    <n v="3"/>
  </r>
  <r>
    <n v="13"/>
    <x v="47"/>
    <n v="3293"/>
    <x v="1"/>
    <x v="1"/>
    <n v="5"/>
    <n v="2.2000000000000002"/>
    <x v="43"/>
    <n v="1195"/>
    <n v="525.80000000000007"/>
    <n v="669.19999999999993"/>
    <n v="3"/>
    <s v="ACME Bites"/>
    <x v="2"/>
    <s v="WI"/>
    <n v="54303"/>
    <s v="United States"/>
    <s v="One of our best customers! Likes to talk about roses. Make sure to read all about roses on Wikipedia before meeting."/>
    <n v="3"/>
  </r>
  <r>
    <n v="15"/>
    <x v="48"/>
    <n v="1093"/>
    <x v="3"/>
    <x v="3"/>
    <n v="3"/>
    <n v="1.25"/>
    <x v="44"/>
    <n v="144"/>
    <n v="60"/>
    <n v="84"/>
    <n v="3"/>
    <s v="ACME Bites"/>
    <x v="2"/>
    <s v="WI"/>
    <n v="54303"/>
    <s v="United States"/>
    <s v="One of our best customers! Likes to talk about roses. Make sure to read all about roses on Wikipedia before meeting."/>
    <n v="3"/>
  </r>
  <r>
    <n v="15"/>
    <x v="49"/>
    <n v="1093"/>
    <x v="1"/>
    <x v="1"/>
    <n v="5"/>
    <n v="2.2000000000000002"/>
    <x v="45"/>
    <n v="545"/>
    <n v="239.8"/>
    <n v="305.2"/>
    <n v="3"/>
    <s v="ACME Bites"/>
    <x v="2"/>
    <s v="WI"/>
    <n v="54303"/>
    <s v="United States"/>
    <s v="One of our best customers! Likes to talk about roses. Make sure to read all about roses on Wikipedia before meeting."/>
    <n v="3"/>
  </r>
  <r>
    <n v="15"/>
    <x v="50"/>
    <n v="1093"/>
    <x v="2"/>
    <x v="2"/>
    <n v="1"/>
    <n v="0.5"/>
    <x v="24"/>
    <n v="99"/>
    <n v="49.5"/>
    <n v="49.5"/>
    <n v="3"/>
    <s v="ACME Bites"/>
    <x v="2"/>
    <s v="WI"/>
    <n v="54303"/>
    <s v="United States"/>
    <s v="One of our best customers! Likes to talk about roses. Make sure to read all about roses on Wikipedia before meeting."/>
    <n v="3"/>
  </r>
  <r>
    <n v="15"/>
    <x v="51"/>
    <n v="1093"/>
    <x v="4"/>
    <x v="4"/>
    <n v="5"/>
    <n v="2"/>
    <x v="46"/>
    <n v="305"/>
    <n v="122"/>
    <n v="183"/>
    <n v="3"/>
    <s v="ACME Bites"/>
    <x v="2"/>
    <s v="WI"/>
    <n v="54303"/>
    <s v="United States"/>
    <s v="One of our best customers! Likes to talk about roses. Make sure to read all about roses on Wikipedia before meeting."/>
    <n v="3"/>
  </r>
  <r>
    <n v="17"/>
    <x v="52"/>
    <n v="912"/>
    <x v="3"/>
    <x v="3"/>
    <n v="3"/>
    <n v="1.25"/>
    <x v="47"/>
    <n v="597"/>
    <n v="248.75"/>
    <n v="348.25"/>
    <n v="3"/>
    <s v="ACME Bites"/>
    <x v="2"/>
    <s v="WI"/>
    <n v="54303"/>
    <s v="United States"/>
    <s v="One of our best customers! Likes to talk about roses. Make sure to read all about roses on Wikipedia before meeting."/>
    <n v="3"/>
  </r>
  <r>
    <n v="17"/>
    <x v="53"/>
    <n v="912"/>
    <x v="1"/>
    <x v="1"/>
    <n v="5"/>
    <n v="2.2000000000000002"/>
    <x v="48"/>
    <n v="315"/>
    <n v="138.60000000000002"/>
    <n v="176.39999999999998"/>
    <n v="3"/>
    <s v="ACME Bites"/>
    <x v="2"/>
    <s v="WI"/>
    <n v="54303"/>
    <s v="United States"/>
    <s v="One of our best customers! Likes to talk about roses. Make sure to read all about roses on Wikipedia before meeting."/>
    <n v="3"/>
  </r>
  <r>
    <n v="24"/>
    <x v="54"/>
    <n v="1829"/>
    <x v="3"/>
    <x v="3"/>
    <n v="3"/>
    <n v="1.25"/>
    <x v="49"/>
    <n v="366"/>
    <n v="152.5"/>
    <n v="213.5"/>
    <n v="3"/>
    <s v="ACME Bites"/>
    <x v="2"/>
    <s v="WI"/>
    <n v="54303"/>
    <s v="United States"/>
    <s v="One of our best customers! Likes to talk about roses. Make sure to read all about roses on Wikipedia before meeting."/>
    <n v="3"/>
  </r>
  <r>
    <n v="24"/>
    <x v="55"/>
    <n v="1829"/>
    <x v="5"/>
    <x v="5"/>
    <n v="6"/>
    <n v="2.75"/>
    <x v="50"/>
    <n v="1284"/>
    <n v="588.5"/>
    <n v="695.5"/>
    <n v="3"/>
    <s v="ACME Bites"/>
    <x v="2"/>
    <s v="WI"/>
    <n v="54303"/>
    <s v="United States"/>
    <s v="One of our best customers! Likes to talk about roses. Make sure to read all about roses on Wikipedia before meeting."/>
    <n v="3"/>
  </r>
  <r>
    <n v="24"/>
    <x v="56"/>
    <n v="1829"/>
    <x v="2"/>
    <x v="2"/>
    <n v="1"/>
    <n v="0.5"/>
    <x v="51"/>
    <n v="179"/>
    <n v="89.5"/>
    <n v="89.5"/>
    <n v="3"/>
    <s v="ACME Bites"/>
    <x v="2"/>
    <s v="WI"/>
    <n v="54303"/>
    <s v="United States"/>
    <s v="One of our best customers! Likes to talk about roses. Make sure to read all about roses on Wikipedia before meeting."/>
    <n v="3"/>
  </r>
  <r>
    <n v="26"/>
    <x v="57"/>
    <n v="171"/>
    <x v="2"/>
    <x v="2"/>
    <n v="1"/>
    <n v="0.5"/>
    <x v="3"/>
    <n v="171"/>
    <n v="85.5"/>
    <n v="85.5"/>
    <n v="3"/>
    <s v="ACME Bites"/>
    <x v="2"/>
    <s v="WI"/>
    <n v="54303"/>
    <s v="United States"/>
    <s v="One of our best customers! Likes to talk about roses. Make sure to read all about roses on Wikipedia before meeting."/>
    <n v="3"/>
  </r>
  <r>
    <n v="27"/>
    <x v="58"/>
    <n v="1291"/>
    <x v="4"/>
    <x v="4"/>
    <n v="5"/>
    <n v="2"/>
    <x v="51"/>
    <n v="895"/>
    <n v="358"/>
    <n v="537"/>
    <n v="3"/>
    <s v="ACME Bites"/>
    <x v="2"/>
    <s v="WI"/>
    <n v="54303"/>
    <s v="United States"/>
    <s v="One of our best customers! Likes to talk about roses. Make sure to read all about roses on Wikipedia before meeting."/>
    <n v="3"/>
  </r>
  <r>
    <n v="27"/>
    <x v="59"/>
    <n v="1291"/>
    <x v="5"/>
    <x v="5"/>
    <n v="6"/>
    <n v="2.75"/>
    <x v="52"/>
    <n v="396"/>
    <n v="181.5"/>
    <n v="214.5"/>
    <n v="3"/>
    <s v="ACME Bites"/>
    <x v="2"/>
    <s v="WI"/>
    <n v="54303"/>
    <s v="United States"/>
    <s v="One of our best customers! Likes to talk about roses. Make sure to read all about roses on Wikipedia before meeting."/>
    <n v="3"/>
  </r>
  <r>
    <n v="33"/>
    <x v="60"/>
    <n v="2159"/>
    <x v="3"/>
    <x v="3"/>
    <n v="3"/>
    <n v="1.25"/>
    <x v="21"/>
    <n v="606"/>
    <n v="252.5"/>
    <n v="353.5"/>
    <n v="3"/>
    <s v="ACME Bites"/>
    <x v="2"/>
    <s v="WI"/>
    <n v="54303"/>
    <s v="United States"/>
    <s v="One of our best customers! Likes to talk about roses. Make sure to read all about roses on Wikipedia before meeting."/>
    <n v="3"/>
  </r>
  <r>
    <n v="33"/>
    <x v="61"/>
    <n v="2159"/>
    <x v="1"/>
    <x v="1"/>
    <n v="5"/>
    <n v="2.2000000000000002"/>
    <x v="53"/>
    <n v="515"/>
    <n v="226.60000000000002"/>
    <n v="288.39999999999998"/>
    <n v="3"/>
    <s v="ACME Bites"/>
    <x v="2"/>
    <s v="WI"/>
    <n v="54303"/>
    <s v="United States"/>
    <s v="One of our best customers! Likes to talk about roses. Make sure to read all about roses on Wikipedia before meeting."/>
    <n v="3"/>
  </r>
  <r>
    <n v="33"/>
    <x v="62"/>
    <n v="2159"/>
    <x v="5"/>
    <x v="5"/>
    <n v="6"/>
    <n v="2.75"/>
    <x v="54"/>
    <n v="1038"/>
    <n v="475.75"/>
    <n v="562.25"/>
    <n v="3"/>
    <s v="ACME Bites"/>
    <x v="2"/>
    <s v="WI"/>
    <n v="54303"/>
    <s v="United States"/>
    <s v="One of our best customers! Likes to talk about roses. Make sure to read all about roses on Wikipedia before meeting."/>
    <n v="3"/>
  </r>
  <r>
    <n v="44"/>
    <x v="63"/>
    <n v="952"/>
    <x v="2"/>
    <x v="2"/>
    <n v="1"/>
    <n v="0.5"/>
    <x v="55"/>
    <n v="155"/>
    <n v="77.5"/>
    <n v="77.5"/>
    <n v="3"/>
    <s v="ACME Bites"/>
    <x v="2"/>
    <s v="WI"/>
    <n v="54303"/>
    <s v="United States"/>
    <s v="One of our best customers! Likes to talk about roses. Make sure to read all about roses on Wikipedia before meeting."/>
    <n v="3"/>
  </r>
  <r>
    <n v="44"/>
    <x v="64"/>
    <n v="952"/>
    <x v="3"/>
    <x v="3"/>
    <n v="3"/>
    <n v="1.25"/>
    <x v="43"/>
    <n v="717"/>
    <n v="298.75"/>
    <n v="418.25"/>
    <n v="3"/>
    <s v="ACME Bites"/>
    <x v="2"/>
    <s v="WI"/>
    <n v="54303"/>
    <s v="United States"/>
    <s v="One of our best customers! Likes to talk about roses. Make sure to read all about roses on Wikipedia before meeting."/>
    <n v="3"/>
  </r>
  <r>
    <n v="44"/>
    <x v="65"/>
    <n v="952"/>
    <x v="0"/>
    <x v="0"/>
    <n v="4"/>
    <n v="1.5"/>
    <x v="56"/>
    <n v="80"/>
    <n v="30"/>
    <n v="50"/>
    <n v="3"/>
    <s v="ACME Bites"/>
    <x v="2"/>
    <s v="WI"/>
    <n v="54303"/>
    <s v="United States"/>
    <s v="One of our best customers! Likes to talk about roses. Make sure to read all about roses on Wikipedia before meeting."/>
    <n v="3"/>
  </r>
  <r>
    <n v="45"/>
    <x v="66"/>
    <n v="2208"/>
    <x v="5"/>
    <x v="5"/>
    <n v="6"/>
    <n v="2.75"/>
    <x v="57"/>
    <n v="864"/>
    <n v="396"/>
    <n v="468"/>
    <n v="3"/>
    <s v="ACME Bites"/>
    <x v="2"/>
    <s v="WI"/>
    <n v="54303"/>
    <s v="United States"/>
    <s v="One of our best customers! Likes to talk about roses. Make sure to read all about roses on Wikipedia before meeting."/>
    <n v="3"/>
  </r>
  <r>
    <n v="45"/>
    <x v="67"/>
    <n v="2208"/>
    <x v="0"/>
    <x v="0"/>
    <n v="4"/>
    <n v="1.5"/>
    <x v="33"/>
    <n v="672"/>
    <n v="252"/>
    <n v="420"/>
    <n v="3"/>
    <s v="ACME Bites"/>
    <x v="2"/>
    <s v="WI"/>
    <n v="54303"/>
    <s v="United States"/>
    <s v="One of our best customers! Likes to talk about roses. Make sure to read all about roses on Wikipedia before meeting."/>
    <n v="3"/>
  </r>
  <r>
    <n v="45"/>
    <x v="68"/>
    <n v="2208"/>
    <x v="3"/>
    <x v="3"/>
    <n v="3"/>
    <n v="1.25"/>
    <x v="58"/>
    <n v="672"/>
    <n v="280"/>
    <n v="392"/>
    <n v="3"/>
    <s v="ACME Bites"/>
    <x v="2"/>
    <s v="WI"/>
    <n v="54303"/>
    <s v="United States"/>
    <s v="One of our best customers! Likes to talk about roses. Make sure to read all about roses on Wikipedia before meeting."/>
    <n v="3"/>
  </r>
  <r>
    <n v="47"/>
    <x v="69"/>
    <n v="798"/>
    <x v="0"/>
    <x v="0"/>
    <n v="4"/>
    <n v="1.5"/>
    <x v="31"/>
    <n v="528"/>
    <n v="198"/>
    <n v="330"/>
    <n v="3"/>
    <s v="ACME Bites"/>
    <x v="2"/>
    <s v="WI"/>
    <n v="54303"/>
    <s v="United States"/>
    <s v="One of our best customers! Likes to talk about roses. Make sure to read all about roses on Wikipedia before meeting."/>
    <n v="3"/>
  </r>
  <r>
    <n v="47"/>
    <x v="70"/>
    <n v="798"/>
    <x v="5"/>
    <x v="5"/>
    <n v="6"/>
    <n v="2.75"/>
    <x v="59"/>
    <n v="270"/>
    <n v="123.75"/>
    <n v="146.25"/>
    <n v="3"/>
    <s v="ACME Bites"/>
    <x v="2"/>
    <s v="WI"/>
    <n v="54303"/>
    <s v="United States"/>
    <s v="One of our best customers! Likes to talk about roses. Make sure to read all about roses on Wikipedia before meeting."/>
    <n v="3"/>
  </r>
  <r>
    <n v="5"/>
    <x v="71"/>
    <n v="569"/>
    <x v="3"/>
    <x v="3"/>
    <n v="3"/>
    <n v="1.25"/>
    <x v="60"/>
    <n v="33"/>
    <n v="13.75"/>
    <n v="19.25"/>
    <n v="4"/>
    <s v="Wholesome Foods"/>
    <x v="3"/>
    <s v="NY"/>
    <n v="11743"/>
    <s v="United States"/>
    <s v="CEO has three kids, first one is Charles, don't know the rest. CEO cares about Charles the most, so all good."/>
    <n v="4"/>
  </r>
  <r>
    <n v="5"/>
    <x v="72"/>
    <n v="569"/>
    <x v="4"/>
    <x v="4"/>
    <n v="5"/>
    <n v="2"/>
    <x v="61"/>
    <n v="230"/>
    <n v="92"/>
    <n v="138"/>
    <n v="4"/>
    <s v="Wholesome Foods"/>
    <x v="3"/>
    <s v="NY"/>
    <n v="11743"/>
    <s v="United States"/>
    <s v="CEO has three kids, first one is Charles, don't know the rest. CEO cares about Charles the most, so all good."/>
    <n v="4"/>
  </r>
  <r>
    <n v="5"/>
    <x v="73"/>
    <n v="569"/>
    <x v="5"/>
    <x v="5"/>
    <n v="6"/>
    <n v="2.75"/>
    <x v="62"/>
    <n v="306"/>
    <n v="140.25"/>
    <n v="165.75"/>
    <n v="4"/>
    <s v="Wholesome Foods"/>
    <x v="3"/>
    <s v="NY"/>
    <n v="11743"/>
    <s v="United States"/>
    <s v="CEO has three kids, first one is Charles, don't know the rest. CEO cares about Charles the most, so all good."/>
    <n v="4"/>
  </r>
  <r>
    <n v="6"/>
    <x v="74"/>
    <n v="1586"/>
    <x v="4"/>
    <x v="4"/>
    <n v="5"/>
    <n v="2"/>
    <x v="50"/>
    <n v="1070"/>
    <n v="428"/>
    <n v="642"/>
    <n v="4"/>
    <s v="Wholesome Foods"/>
    <x v="3"/>
    <s v="NY"/>
    <n v="11743"/>
    <s v="United States"/>
    <s v="CEO has three kids, first one is Charles, don't know the rest. CEO cares about Charles the most, so all good."/>
    <n v="4"/>
  </r>
  <r>
    <n v="6"/>
    <x v="75"/>
    <n v="1586"/>
    <x v="1"/>
    <x v="1"/>
    <n v="5"/>
    <n v="2.2000000000000002"/>
    <x v="63"/>
    <n v="120"/>
    <n v="52.800000000000004"/>
    <n v="67.199999999999989"/>
    <n v="4"/>
    <s v="Wholesome Foods"/>
    <x v="3"/>
    <s v="NY"/>
    <n v="11743"/>
    <s v="United States"/>
    <s v="CEO has three kids, first one is Charles, don't know the rest. CEO cares about Charles the most, so all good."/>
    <n v="4"/>
  </r>
  <r>
    <n v="6"/>
    <x v="76"/>
    <n v="1586"/>
    <x v="5"/>
    <x v="5"/>
    <n v="6"/>
    <n v="2.75"/>
    <x v="52"/>
    <n v="396"/>
    <n v="181.5"/>
    <n v="214.5"/>
    <n v="4"/>
    <s v="Wholesome Foods"/>
    <x v="3"/>
    <s v="NY"/>
    <n v="11743"/>
    <s v="United States"/>
    <s v="CEO has three kids, first one is Charles, don't know the rest. CEO cares about Charles the most, so all good."/>
    <n v="4"/>
  </r>
  <r>
    <n v="7"/>
    <x v="77"/>
    <n v="210"/>
    <x v="2"/>
    <x v="2"/>
    <n v="1"/>
    <n v="0.5"/>
    <x v="64"/>
    <n v="210"/>
    <n v="105"/>
    <n v="105"/>
    <n v="4"/>
    <s v="Wholesome Foods"/>
    <x v="3"/>
    <s v="NY"/>
    <n v="11743"/>
    <s v="United States"/>
    <s v="CEO has three kids, first one is Charles, don't know the rest. CEO cares about Charles the most, so all good."/>
    <n v="4"/>
  </r>
  <r>
    <n v="10"/>
    <x v="78"/>
    <n v="39"/>
    <x v="2"/>
    <x v="2"/>
    <n v="1"/>
    <n v="0.5"/>
    <x v="65"/>
    <n v="39"/>
    <n v="19.5"/>
    <n v="19.5"/>
    <n v="4"/>
    <s v="Wholesome Foods"/>
    <x v="3"/>
    <s v="NY"/>
    <n v="11743"/>
    <s v="United States"/>
    <s v="CEO has three kids, first one is Charles, don't know the rest. CEO cares about Charles the most, so all good."/>
    <n v="4"/>
  </r>
  <r>
    <n v="18"/>
    <x v="79"/>
    <n v="915"/>
    <x v="1"/>
    <x v="1"/>
    <n v="5"/>
    <n v="2.2000000000000002"/>
    <x v="66"/>
    <n v="915"/>
    <n v="402.6"/>
    <n v="512.4"/>
    <n v="4"/>
    <s v="Wholesome Foods"/>
    <x v="3"/>
    <s v="NY"/>
    <n v="11743"/>
    <s v="United States"/>
    <s v="CEO has three kids, first one is Charles, don't know the rest. CEO cares about Charles the most, so all good."/>
    <n v="4"/>
  </r>
  <r>
    <n v="22"/>
    <x v="80"/>
    <n v="1744"/>
    <x v="2"/>
    <x v="2"/>
    <n v="1"/>
    <n v="0.5"/>
    <x v="67"/>
    <n v="141"/>
    <n v="70.5"/>
    <n v="70.5"/>
    <n v="4"/>
    <s v="Wholesome Foods"/>
    <x v="3"/>
    <s v="NY"/>
    <n v="11743"/>
    <s v="United States"/>
    <s v="CEO has three kids, first one is Charles, don't know the rest. CEO cares about Charles the most, so all good."/>
    <n v="4"/>
  </r>
  <r>
    <n v="22"/>
    <x v="81"/>
    <n v="1744"/>
    <x v="3"/>
    <x v="3"/>
    <n v="3"/>
    <n v="1.25"/>
    <x v="68"/>
    <n v="723"/>
    <n v="301.25"/>
    <n v="421.75"/>
    <n v="4"/>
    <s v="Wholesome Foods"/>
    <x v="3"/>
    <s v="NY"/>
    <n v="11743"/>
    <s v="United States"/>
    <s v="CEO has three kids, first one is Charles, don't know the rest. CEO cares about Charles the most, so all good."/>
    <n v="4"/>
  </r>
  <r>
    <n v="22"/>
    <x v="82"/>
    <n v="1744"/>
    <x v="1"/>
    <x v="1"/>
    <n v="5"/>
    <n v="2.2000000000000002"/>
    <x v="69"/>
    <n v="880"/>
    <n v="387.20000000000005"/>
    <n v="492.79999999999995"/>
    <n v="4"/>
    <s v="Wholesome Foods"/>
    <x v="3"/>
    <s v="NY"/>
    <n v="11743"/>
    <s v="United States"/>
    <s v="CEO has three kids, first one is Charles, don't know the rest. CEO cares about Charles the most, so all good."/>
    <n v="4"/>
  </r>
  <r>
    <n v="25"/>
    <x v="83"/>
    <n v="1113"/>
    <x v="2"/>
    <x v="2"/>
    <n v="1"/>
    <n v="0.5"/>
    <x v="43"/>
    <n v="239"/>
    <n v="119.5"/>
    <n v="119.5"/>
    <n v="4"/>
    <s v="Wholesome Foods"/>
    <x v="3"/>
    <s v="NY"/>
    <n v="11743"/>
    <s v="United States"/>
    <s v="CEO has three kids, first one is Charles, don't know the rest. CEO cares about Charles the most, so all good."/>
    <n v="4"/>
  </r>
  <r>
    <n v="25"/>
    <x v="84"/>
    <n v="1113"/>
    <x v="1"/>
    <x v="1"/>
    <n v="5"/>
    <n v="2.2000000000000002"/>
    <x v="70"/>
    <n v="210"/>
    <n v="92.4"/>
    <n v="117.6"/>
    <n v="4"/>
    <s v="Wholesome Foods"/>
    <x v="3"/>
    <s v="NY"/>
    <n v="11743"/>
    <s v="United States"/>
    <s v="CEO has three kids, first one is Charles, don't know the rest. CEO cares about Charles the most, so all good."/>
    <n v="4"/>
  </r>
  <r>
    <n v="25"/>
    <x v="85"/>
    <n v="1113"/>
    <x v="0"/>
    <x v="0"/>
    <n v="4"/>
    <n v="1.5"/>
    <x v="71"/>
    <n v="664"/>
    <n v="249"/>
    <n v="415"/>
    <n v="4"/>
    <s v="Wholesome Foods"/>
    <x v="3"/>
    <s v="NY"/>
    <n v="11743"/>
    <s v="United States"/>
    <s v="CEO has three kids, first one is Charles, don't know the rest. CEO cares about Charles the most, so all good."/>
    <n v="4"/>
  </r>
  <r>
    <n v="28"/>
    <x v="86"/>
    <n v="2060"/>
    <x v="5"/>
    <x v="5"/>
    <n v="6"/>
    <n v="2.75"/>
    <x v="33"/>
    <n v="1008"/>
    <n v="462"/>
    <n v="546"/>
    <n v="4"/>
    <s v="Wholesome Foods"/>
    <x v="3"/>
    <s v="NY"/>
    <n v="11743"/>
    <s v="United States"/>
    <s v="CEO has three kids, first one is Charles, don't know the rest. CEO cares about Charles the most, so all good."/>
    <n v="4"/>
  </r>
  <r>
    <n v="28"/>
    <x v="87"/>
    <n v="2060"/>
    <x v="0"/>
    <x v="0"/>
    <n v="4"/>
    <n v="1.5"/>
    <x v="72"/>
    <n v="536"/>
    <n v="201"/>
    <n v="335"/>
    <n v="4"/>
    <s v="Wholesome Foods"/>
    <x v="3"/>
    <s v="NY"/>
    <n v="11743"/>
    <s v="United States"/>
    <s v="CEO has three kids, first one is Charles, don't know the rest. CEO cares about Charles the most, so all good."/>
    <n v="4"/>
  </r>
  <r>
    <n v="28"/>
    <x v="88"/>
    <n v="2060"/>
    <x v="3"/>
    <x v="3"/>
    <n v="3"/>
    <n v="1.25"/>
    <x v="73"/>
    <n v="516"/>
    <n v="215"/>
    <n v="301"/>
    <n v="4"/>
    <s v="Wholesome Foods"/>
    <x v="3"/>
    <s v="NY"/>
    <n v="11743"/>
    <s v="United States"/>
    <s v="CEO has three kids, first one is Charles, don't know the rest. CEO cares about Charles the most, so all good."/>
    <n v="4"/>
  </r>
  <r>
    <n v="36"/>
    <x v="89"/>
    <n v="1391"/>
    <x v="4"/>
    <x v="4"/>
    <n v="5"/>
    <n v="2"/>
    <x v="74"/>
    <n v="580"/>
    <n v="232"/>
    <n v="348"/>
    <n v="4"/>
    <s v="Wholesome Foods"/>
    <x v="3"/>
    <s v="NY"/>
    <n v="11743"/>
    <s v="United States"/>
    <s v="CEO has three kids, first one is Charles, don't know the rest. CEO cares about Charles the most, so all good."/>
    <n v="4"/>
  </r>
  <r>
    <n v="36"/>
    <x v="90"/>
    <n v="1391"/>
    <x v="0"/>
    <x v="0"/>
    <n v="4"/>
    <n v="1.5"/>
    <x v="75"/>
    <n v="508"/>
    <n v="190.5"/>
    <n v="317.5"/>
    <n v="4"/>
    <s v="Wholesome Foods"/>
    <x v="3"/>
    <s v="NY"/>
    <n v="11743"/>
    <s v="United States"/>
    <s v="CEO has three kids, first one is Charles, don't know the rest. CEO cares about Charles the most, so all good."/>
    <n v="4"/>
  </r>
  <r>
    <n v="36"/>
    <x v="91"/>
    <n v="1391"/>
    <x v="3"/>
    <x v="3"/>
    <n v="3"/>
    <n v="1.25"/>
    <x v="76"/>
    <n v="303"/>
    <n v="126.25"/>
    <n v="176.75"/>
    <n v="4"/>
    <s v="Wholesome Foods"/>
    <x v="3"/>
    <s v="NY"/>
    <n v="11743"/>
    <s v="United States"/>
    <s v="CEO has three kids, first one is Charles, don't know the rest. CEO cares about Charles the most, so all good."/>
    <n v="4"/>
  </r>
  <r>
    <n v="48"/>
    <x v="92"/>
    <n v="655"/>
    <x v="1"/>
    <x v="1"/>
    <n v="5"/>
    <n v="2.2000000000000002"/>
    <x v="77"/>
    <n v="655"/>
    <n v="288.20000000000005"/>
    <n v="366.79999999999995"/>
    <n v="4"/>
    <s v="Wholesome Foods"/>
    <x v="3"/>
    <s v="NY"/>
    <n v="11743"/>
    <s v="United States"/>
    <s v="CEO has three kids, first one is Charles, don't know the rest. CEO cares about Charles the most, so all good."/>
    <n v="4"/>
  </r>
  <r>
    <n v="50"/>
    <x v="93"/>
    <n v="180"/>
    <x v="5"/>
    <x v="5"/>
    <n v="6"/>
    <n v="2.75"/>
    <x v="78"/>
    <n v="180"/>
    <n v="82.5"/>
    <n v="97.5"/>
    <n v="4"/>
    <s v="Wholesome Foods"/>
    <x v="3"/>
    <s v="NY"/>
    <n v="11743"/>
    <s v="United States"/>
    <s v="CEO has three kids, first one is Charles, don't know the rest. CEO cares about Charles the most, so all good."/>
    <n v="4"/>
  </r>
  <r>
    <n v="1"/>
    <x v="94"/>
    <n v="1815"/>
    <x v="4"/>
    <x v="4"/>
    <n v="5"/>
    <n v="2"/>
    <x v="35"/>
    <n v="1145"/>
    <n v="458"/>
    <n v="687"/>
    <n v="5"/>
    <s v="Park &amp; Shop Convenience Stores"/>
    <x v="4"/>
    <s v="AL"/>
    <n v="36602"/>
    <s v="United States"/>
    <s v="New customer, make sure to please them! Very frugal, so reinforce how delicious AND inexpensive our cookies are."/>
    <n v="5"/>
  </r>
  <r>
    <n v="1"/>
    <x v="95"/>
    <n v="1815"/>
    <x v="2"/>
    <x v="2"/>
    <n v="1"/>
    <n v="0.5"/>
    <x v="79"/>
    <n v="160"/>
    <n v="80"/>
    <n v="80"/>
    <n v="5"/>
    <s v="Park &amp; Shop Convenience Stores"/>
    <x v="4"/>
    <s v="AL"/>
    <n v="36602"/>
    <s v="United States"/>
    <s v="New customer, make sure to please them! Very frugal, so reinforce how delicious AND inexpensive our cookies are."/>
    <n v="5"/>
  </r>
  <r>
    <n v="1"/>
    <x v="96"/>
    <n v="1815"/>
    <x v="3"/>
    <x v="3"/>
    <n v="3"/>
    <n v="1.25"/>
    <x v="78"/>
    <n v="90"/>
    <n v="37.5"/>
    <n v="52.5"/>
    <n v="5"/>
    <s v="Park &amp; Shop Convenience Stores"/>
    <x v="4"/>
    <s v="AL"/>
    <n v="36602"/>
    <s v="United States"/>
    <s v="New customer, make sure to please them! Very frugal, so reinforce how delicious AND inexpensive our cookies are."/>
    <n v="5"/>
  </r>
  <r>
    <n v="1"/>
    <x v="97"/>
    <n v="1815"/>
    <x v="1"/>
    <x v="1"/>
    <n v="5"/>
    <n v="2.2000000000000002"/>
    <x v="80"/>
    <n v="420"/>
    <n v="184.8"/>
    <n v="235.2"/>
    <n v="5"/>
    <s v="Park &amp; Shop Convenience Stores"/>
    <x v="4"/>
    <s v="AL"/>
    <n v="36602"/>
    <s v="United States"/>
    <s v="New customer, make sure to please them! Very frugal, so reinforce how delicious AND inexpensive our cookies are."/>
    <n v="5"/>
  </r>
  <r>
    <n v="2"/>
    <x v="98"/>
    <n v="964"/>
    <x v="0"/>
    <x v="0"/>
    <n v="4"/>
    <n v="1.5"/>
    <x v="81"/>
    <n v="196"/>
    <n v="73.5"/>
    <n v="122.5"/>
    <n v="5"/>
    <s v="Park &amp; Shop Convenience Stores"/>
    <x v="4"/>
    <s v="AL"/>
    <n v="36602"/>
    <s v="United States"/>
    <s v="New customer, make sure to please them! Very frugal, so reinforce how delicious AND inexpensive our cookies are."/>
    <n v="5"/>
  </r>
  <r>
    <n v="2"/>
    <x v="99"/>
    <n v="964"/>
    <x v="5"/>
    <x v="5"/>
    <n v="6"/>
    <n v="2.75"/>
    <x v="82"/>
    <n v="768"/>
    <n v="352"/>
    <n v="416"/>
    <n v="5"/>
    <s v="Park &amp; Shop Convenience Stores"/>
    <x v="4"/>
    <s v="AL"/>
    <n v="36602"/>
    <s v="United States"/>
    <s v="New customer, make sure to please them! Very frugal, so reinforce how delicious AND inexpensive our cookies are."/>
    <n v="5"/>
  </r>
  <r>
    <n v="8"/>
    <x v="100"/>
    <n v="2424"/>
    <x v="2"/>
    <x v="2"/>
    <n v="1"/>
    <n v="0.5"/>
    <x v="83"/>
    <n v="114"/>
    <n v="57"/>
    <n v="57"/>
    <n v="5"/>
    <s v="Park &amp; Shop Convenience Stores"/>
    <x v="4"/>
    <s v="AL"/>
    <n v="36602"/>
    <s v="United States"/>
    <s v="New customer, make sure to please them! Very frugal, so reinforce how delicious AND inexpensive our cookies are."/>
    <n v="5"/>
  </r>
  <r>
    <n v="8"/>
    <x v="101"/>
    <n v="2424"/>
    <x v="3"/>
    <x v="3"/>
    <n v="3"/>
    <n v="1.25"/>
    <x v="84"/>
    <n v="318"/>
    <n v="132.5"/>
    <n v="185.5"/>
    <n v="5"/>
    <s v="Park &amp; Shop Convenience Stores"/>
    <x v="4"/>
    <s v="AL"/>
    <n v="36602"/>
    <s v="United States"/>
    <s v="New customer, make sure to please them! Very frugal, so reinforce how delicious AND inexpensive our cookies are."/>
    <n v="5"/>
  </r>
  <r>
    <n v="8"/>
    <x v="102"/>
    <n v="2424"/>
    <x v="5"/>
    <x v="5"/>
    <n v="6"/>
    <n v="2.75"/>
    <x v="85"/>
    <n v="1068"/>
    <n v="489.5"/>
    <n v="578.5"/>
    <n v="5"/>
    <s v="Park &amp; Shop Convenience Stores"/>
    <x v="4"/>
    <s v="AL"/>
    <n v="36602"/>
    <s v="United States"/>
    <s v="New customer, make sure to please them! Very frugal, so reinforce how delicious AND inexpensive our cookies are."/>
    <n v="5"/>
  </r>
  <r>
    <n v="8"/>
    <x v="103"/>
    <n v="2424"/>
    <x v="1"/>
    <x v="1"/>
    <n v="5"/>
    <n v="2.2000000000000002"/>
    <x v="86"/>
    <n v="180"/>
    <n v="79.2"/>
    <n v="100.8"/>
    <n v="5"/>
    <s v="Park &amp; Shop Convenience Stores"/>
    <x v="4"/>
    <s v="AL"/>
    <n v="36602"/>
    <s v="United States"/>
    <s v="New customer, make sure to please them! Very frugal, so reinforce how delicious AND inexpensive our cookies are."/>
    <n v="5"/>
  </r>
  <r>
    <n v="8"/>
    <x v="104"/>
    <n v="2424"/>
    <x v="0"/>
    <x v="0"/>
    <n v="4"/>
    <n v="1.5"/>
    <x v="87"/>
    <n v="744"/>
    <n v="279"/>
    <n v="465"/>
    <n v="5"/>
    <s v="Park &amp; Shop Convenience Stores"/>
    <x v="4"/>
    <s v="AL"/>
    <n v="36602"/>
    <s v="United States"/>
    <s v="New customer, make sure to please them! Very frugal, so reinforce how delicious AND inexpensive our cookies are."/>
    <n v="5"/>
  </r>
  <r>
    <n v="11"/>
    <x v="105"/>
    <n v="1383"/>
    <x v="5"/>
    <x v="5"/>
    <n v="6"/>
    <n v="2.75"/>
    <x v="88"/>
    <n v="390"/>
    <n v="178.75"/>
    <n v="211.25"/>
    <n v="5"/>
    <s v="Park &amp; Shop Convenience Stores"/>
    <x v="4"/>
    <s v="AL"/>
    <n v="36602"/>
    <s v="United States"/>
    <s v="New customer, make sure to please them! Very frugal, so reinforce how delicious AND inexpensive our cookies are."/>
    <n v="5"/>
  </r>
  <r>
    <n v="11"/>
    <x v="106"/>
    <n v="1383"/>
    <x v="0"/>
    <x v="0"/>
    <n v="4"/>
    <n v="1.5"/>
    <x v="29"/>
    <n v="940"/>
    <n v="352.5"/>
    <n v="587.5"/>
    <n v="5"/>
    <s v="Park &amp; Shop Convenience Stores"/>
    <x v="4"/>
    <s v="AL"/>
    <n v="36602"/>
    <s v="United States"/>
    <s v="New customer, make sure to please them! Very frugal, so reinforce how delicious AND inexpensive our cookies are."/>
    <n v="5"/>
  </r>
  <r>
    <n v="11"/>
    <x v="107"/>
    <n v="1383"/>
    <x v="2"/>
    <x v="2"/>
    <n v="1"/>
    <n v="0.5"/>
    <x v="89"/>
    <n v="53"/>
    <n v="26.5"/>
    <n v="26.5"/>
    <n v="5"/>
    <s v="Park &amp; Shop Convenience Stores"/>
    <x v="4"/>
    <s v="AL"/>
    <n v="36602"/>
    <s v="United States"/>
    <s v="New customer, make sure to please them! Very frugal, so reinforce how delicious AND inexpensive our cookies are."/>
    <n v="5"/>
  </r>
  <r>
    <n v="21"/>
    <x v="108"/>
    <n v="74"/>
    <x v="2"/>
    <x v="2"/>
    <n v="1"/>
    <n v="0.5"/>
    <x v="90"/>
    <n v="74"/>
    <n v="37"/>
    <n v="37"/>
    <n v="5"/>
    <s v="Park &amp; Shop Convenience Stores"/>
    <x v="4"/>
    <s v="AL"/>
    <n v="36602"/>
    <s v="United States"/>
    <s v="New customer, make sure to please them! Very frugal, so reinforce how delicious AND inexpensive our cookies are."/>
    <n v="5"/>
  </r>
  <r>
    <n v="29"/>
    <x v="109"/>
    <n v="1263"/>
    <x v="0"/>
    <x v="0"/>
    <n v="4"/>
    <n v="1.5"/>
    <x v="91"/>
    <n v="320"/>
    <n v="120"/>
    <n v="200"/>
    <n v="5"/>
    <s v="Park &amp; Shop Convenience Stores"/>
    <x v="4"/>
    <s v="AL"/>
    <n v="36602"/>
    <s v="United States"/>
    <s v="New customer, make sure to please them! Very frugal, so reinforce how delicious AND inexpensive our cookies are."/>
    <n v="5"/>
  </r>
  <r>
    <n v="29"/>
    <x v="110"/>
    <n v="1263"/>
    <x v="3"/>
    <x v="3"/>
    <n v="3"/>
    <n v="1.25"/>
    <x v="92"/>
    <n v="282"/>
    <n v="117.5"/>
    <n v="164.5"/>
    <n v="5"/>
    <s v="Park &amp; Shop Convenience Stores"/>
    <x v="4"/>
    <s v="AL"/>
    <n v="36602"/>
    <s v="United States"/>
    <s v="New customer, make sure to please them! Very frugal, so reinforce how delicious AND inexpensive our cookies are."/>
    <n v="5"/>
  </r>
  <r>
    <n v="29"/>
    <x v="111"/>
    <n v="1263"/>
    <x v="1"/>
    <x v="1"/>
    <n v="5"/>
    <n v="2.2000000000000002"/>
    <x v="93"/>
    <n v="480"/>
    <n v="211.20000000000002"/>
    <n v="268.79999999999995"/>
    <n v="5"/>
    <s v="Park &amp; Shop Convenience Stores"/>
    <x v="4"/>
    <s v="AL"/>
    <n v="36602"/>
    <s v="United States"/>
    <s v="New customer, make sure to please them! Very frugal, so reinforce how delicious AND inexpensive our cookies are."/>
    <n v="5"/>
  </r>
  <r>
    <n v="29"/>
    <x v="112"/>
    <n v="1263"/>
    <x v="5"/>
    <x v="5"/>
    <n v="6"/>
    <n v="2.75"/>
    <x v="94"/>
    <n v="102"/>
    <n v="46.75"/>
    <n v="55.25"/>
    <n v="5"/>
    <s v="Park &amp; Shop Convenience Stores"/>
    <x v="4"/>
    <s v="AL"/>
    <n v="36602"/>
    <s v="United States"/>
    <s v="New customer, make sure to please them! Very frugal, so reinforce how delicious AND inexpensive our cookies are."/>
    <n v="5"/>
  </r>
  <r>
    <n v="29"/>
    <x v="113"/>
    <n v="1263"/>
    <x v="2"/>
    <x v="2"/>
    <n v="1"/>
    <n v="0.5"/>
    <x v="95"/>
    <n v="79"/>
    <n v="39.5"/>
    <n v="39.5"/>
    <n v="5"/>
    <s v="Park &amp; Shop Convenience Stores"/>
    <x v="4"/>
    <s v="AL"/>
    <n v="36602"/>
    <s v="United States"/>
    <s v="New customer, make sure to please them! Very frugal, so reinforce how delicious AND inexpensive our cookies are."/>
    <n v="5"/>
  </r>
  <r>
    <n v="32"/>
    <x v="114"/>
    <n v="2847"/>
    <x v="1"/>
    <x v="1"/>
    <n v="5"/>
    <n v="2.2000000000000002"/>
    <x v="82"/>
    <n v="640"/>
    <n v="281.60000000000002"/>
    <n v="358.4"/>
    <n v="5"/>
    <s v="Park &amp; Shop Convenience Stores"/>
    <x v="4"/>
    <s v="AL"/>
    <n v="36602"/>
    <s v="United States"/>
    <s v="New customer, make sure to please them! Very frugal, so reinforce how delicious AND inexpensive our cookies are."/>
    <n v="5"/>
  </r>
  <r>
    <n v="32"/>
    <x v="115"/>
    <n v="2847"/>
    <x v="4"/>
    <x v="4"/>
    <n v="5"/>
    <n v="2"/>
    <x v="96"/>
    <n v="465"/>
    <n v="186"/>
    <n v="279"/>
    <n v="5"/>
    <s v="Park &amp; Shop Convenience Stores"/>
    <x v="4"/>
    <s v="AL"/>
    <n v="36602"/>
    <s v="United States"/>
    <s v="New customer, make sure to please them! Very frugal, so reinforce how delicious AND inexpensive our cookies are."/>
    <n v="5"/>
  </r>
  <r>
    <n v="32"/>
    <x v="116"/>
    <n v="2847"/>
    <x v="0"/>
    <x v="0"/>
    <n v="4"/>
    <n v="1.5"/>
    <x v="49"/>
    <n v="488"/>
    <n v="183"/>
    <n v="305"/>
    <n v="5"/>
    <s v="Park &amp; Shop Convenience Stores"/>
    <x v="4"/>
    <s v="AL"/>
    <n v="36602"/>
    <s v="United States"/>
    <s v="New customer, make sure to please them! Very frugal, so reinforce how delicious AND inexpensive our cookies are."/>
    <n v="5"/>
  </r>
  <r>
    <n v="32"/>
    <x v="117"/>
    <n v="2847"/>
    <x v="5"/>
    <x v="5"/>
    <n v="6"/>
    <n v="2.75"/>
    <x v="2"/>
    <n v="1254"/>
    <n v="574.75"/>
    <n v="679.25"/>
    <n v="5"/>
    <s v="Park &amp; Shop Convenience Stores"/>
    <x v="4"/>
    <s v="AL"/>
    <n v="36602"/>
    <s v="United States"/>
    <s v="New customer, make sure to please them! Very frugal, so reinforce how delicious AND inexpensive our cookies are."/>
    <n v="5"/>
  </r>
  <r>
    <n v="35"/>
    <x v="118"/>
    <n v="1165"/>
    <x v="3"/>
    <x v="3"/>
    <n v="3"/>
    <n v="1.25"/>
    <x v="97"/>
    <n v="339"/>
    <n v="141.25"/>
    <n v="197.75"/>
    <n v="5"/>
    <s v="Park &amp; Shop Convenience Stores"/>
    <x v="4"/>
    <s v="AL"/>
    <n v="36602"/>
    <s v="United States"/>
    <s v="New customer, make sure to please them! Very frugal, so reinforce how delicious AND inexpensive our cookies are."/>
    <n v="5"/>
  </r>
  <r>
    <n v="35"/>
    <x v="119"/>
    <n v="1165"/>
    <x v="1"/>
    <x v="1"/>
    <n v="5"/>
    <n v="2.2000000000000002"/>
    <x v="98"/>
    <n v="170"/>
    <n v="74.800000000000011"/>
    <n v="95.199999999999989"/>
    <n v="5"/>
    <s v="Park &amp; Shop Convenience Stores"/>
    <x v="4"/>
    <s v="AL"/>
    <n v="36602"/>
    <s v="United States"/>
    <s v="New customer, make sure to please them! Very frugal, so reinforce how delicious AND inexpensive our cookies are."/>
    <n v="5"/>
  </r>
  <r>
    <n v="35"/>
    <x v="120"/>
    <n v="1165"/>
    <x v="0"/>
    <x v="0"/>
    <n v="4"/>
    <n v="1.5"/>
    <x v="99"/>
    <n v="656"/>
    <n v="246"/>
    <n v="410"/>
    <n v="5"/>
    <s v="Park &amp; Shop Convenience Stores"/>
    <x v="4"/>
    <s v="AL"/>
    <n v="36602"/>
    <s v="United States"/>
    <s v="New customer, make sure to please them! Very frugal, so reinforce how delicious AND inexpensive our cookies are."/>
    <n v="5"/>
  </r>
  <r>
    <n v="39"/>
    <x v="121"/>
    <n v="1094"/>
    <x v="0"/>
    <x v="0"/>
    <n v="4"/>
    <n v="1.5"/>
    <x v="100"/>
    <n v="56"/>
    <n v="21"/>
    <n v="35"/>
    <n v="5"/>
    <s v="Park &amp; Shop Convenience Stores"/>
    <x v="4"/>
    <s v="AL"/>
    <n v="36602"/>
    <s v="United States"/>
    <s v="New customer, make sure to please them! Very frugal, so reinforce how delicious AND inexpensive our cookies are."/>
    <n v="5"/>
  </r>
  <r>
    <n v="39"/>
    <x v="122"/>
    <n v="1094"/>
    <x v="5"/>
    <x v="5"/>
    <n v="6"/>
    <n v="2.75"/>
    <x v="54"/>
    <n v="1038"/>
    <n v="475.75"/>
    <n v="562.25"/>
    <n v="5"/>
    <s v="Park &amp; Shop Convenience Stores"/>
    <x v="4"/>
    <s v="AL"/>
    <n v="36602"/>
    <s v="United States"/>
    <s v="New customer, make sure to please them! Very frugal, so reinforce how delicious AND inexpensive our cookies are."/>
    <n v="5"/>
  </r>
  <r>
    <n v="41"/>
    <x v="123"/>
    <n v="240"/>
    <x v="4"/>
    <x v="4"/>
    <n v="5"/>
    <n v="2"/>
    <x v="44"/>
    <n v="240"/>
    <n v="96"/>
    <n v="144"/>
    <n v="5"/>
    <s v="Park &amp; Shop Convenience Stores"/>
    <x v="4"/>
    <s v="AL"/>
    <n v="36602"/>
    <s v="United States"/>
    <s v="New customer, make sure to please them! Very frugal, so reinforce how delicious AND inexpensive our cookies are."/>
    <n v="5"/>
  </r>
  <r>
    <n v="43"/>
    <x v="124"/>
    <n v="3518"/>
    <x v="1"/>
    <x v="1"/>
    <n v="5"/>
    <n v="2.2000000000000002"/>
    <x v="101"/>
    <n v="625"/>
    <n v="275"/>
    <n v="350"/>
    <n v="5"/>
    <s v="Park &amp; Shop Convenience Stores"/>
    <x v="4"/>
    <s v="AL"/>
    <n v="36602"/>
    <s v="United States"/>
    <s v="New customer, make sure to please them! Very frugal, so reinforce how delicious AND inexpensive our cookies are."/>
    <n v="5"/>
  </r>
  <r>
    <n v="43"/>
    <x v="125"/>
    <n v="3518"/>
    <x v="4"/>
    <x v="4"/>
    <n v="5"/>
    <n v="2"/>
    <x v="2"/>
    <n v="1045"/>
    <n v="418"/>
    <n v="627"/>
    <n v="5"/>
    <s v="Park &amp; Shop Convenience Stores"/>
    <x v="4"/>
    <s v="AL"/>
    <n v="36602"/>
    <s v="United States"/>
    <s v="New customer, make sure to please them! Very frugal, so reinforce how delicious AND inexpensive our cookies are."/>
    <n v="5"/>
  </r>
  <r>
    <n v="43"/>
    <x v="126"/>
    <n v="3518"/>
    <x v="5"/>
    <x v="5"/>
    <n v="6"/>
    <n v="2.75"/>
    <x v="87"/>
    <n v="1116"/>
    <n v="511.5"/>
    <n v="604.5"/>
    <n v="5"/>
    <s v="Park &amp; Shop Convenience Stores"/>
    <x v="4"/>
    <s v="AL"/>
    <n v="36602"/>
    <s v="United States"/>
    <s v="New customer, make sure to please them! Very frugal, so reinforce how delicious AND inexpensive our cookies are."/>
    <n v="5"/>
  </r>
  <r>
    <n v="43"/>
    <x v="127"/>
    <n v="3518"/>
    <x v="0"/>
    <x v="0"/>
    <n v="4"/>
    <n v="1.5"/>
    <x v="20"/>
    <n v="72"/>
    <n v="27"/>
    <n v="45"/>
    <n v="5"/>
    <s v="Park &amp; Shop Convenience Stores"/>
    <x v="4"/>
    <s v="AL"/>
    <n v="36602"/>
    <s v="United States"/>
    <s v="New customer, make sure to please them! Very frugal, so reinforce how delicious AND inexpensive our cookies are."/>
    <n v="5"/>
  </r>
  <r>
    <n v="43"/>
    <x v="128"/>
    <n v="3518"/>
    <x v="3"/>
    <x v="3"/>
    <n v="3"/>
    <n v="1.25"/>
    <x v="102"/>
    <n v="660"/>
    <n v="275"/>
    <n v="385"/>
    <n v="5"/>
    <s v="Park &amp; Shop Convenience Stores"/>
    <x v="4"/>
    <s v="AL"/>
    <n v="36602"/>
    <s v="United States"/>
    <s v="New customer, make sure to please them! Very frugal, so reinforce how delicious AND inexpensive our cookies are."/>
    <n v="5"/>
  </r>
  <r>
    <n v="46"/>
    <x v="129"/>
    <n v="648"/>
    <x v="2"/>
    <x v="2"/>
    <n v="1"/>
    <n v="0.5"/>
    <x v="103"/>
    <n v="177"/>
    <n v="88.5"/>
    <n v="88.5"/>
    <n v="5"/>
    <s v="Park &amp; Shop Convenience Stores"/>
    <x v="4"/>
    <s v="AL"/>
    <n v="36602"/>
    <s v="United States"/>
    <s v="New customer, make sure to please them! Very frugal, so reinforce how delicious AND inexpensive our cookies are."/>
    <n v="5"/>
  </r>
  <r>
    <n v="46"/>
    <x v="130"/>
    <n v="648"/>
    <x v="0"/>
    <x v="0"/>
    <n v="4"/>
    <n v="1.5"/>
    <x v="52"/>
    <n v="264"/>
    <n v="99"/>
    <n v="165"/>
    <n v="5"/>
    <s v="Park &amp; Shop Convenience Stores"/>
    <x v="4"/>
    <s v="AL"/>
    <n v="36602"/>
    <s v="United States"/>
    <s v="New customer, make sure to please them! Very frugal, so reinforce how delicious AND inexpensive our cookies are."/>
    <n v="5"/>
  </r>
  <r>
    <n v="46"/>
    <x v="131"/>
    <n v="648"/>
    <x v="3"/>
    <x v="3"/>
    <n v="3"/>
    <n v="1.25"/>
    <x v="104"/>
    <n v="207"/>
    <n v="86.25"/>
    <n v="120.75"/>
    <n v="5"/>
    <s v="Park &amp; Shop Convenience Stores"/>
    <x v="4"/>
    <s v="AL"/>
    <n v="36602"/>
    <s v="United States"/>
    <s v="New customer, make sure to please them! Very frugal, so reinforce how delicious AND inexpensive our cookies are."/>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n v="205"/>
    <x v="0"/>
  </r>
  <r>
    <n v="70"/>
    <x v="0"/>
  </r>
  <r>
    <n v="104.5"/>
    <x v="0"/>
  </r>
  <r>
    <n v="43.75"/>
    <x v="0"/>
  </r>
  <r>
    <n v="513"/>
    <x v="0"/>
  </r>
  <r>
    <n v="344.75"/>
    <x v="0"/>
  </r>
  <r>
    <n v="117"/>
    <x v="0"/>
  </r>
  <r>
    <n v="218.39999999999998"/>
    <x v="0"/>
  </r>
  <r>
    <n v="84.5"/>
    <x v="0"/>
  </r>
  <r>
    <n v="113.5"/>
    <x v="0"/>
  </r>
  <r>
    <n v="266"/>
    <x v="0"/>
  </r>
  <r>
    <n v="507"/>
    <x v="0"/>
  </r>
  <r>
    <n v="510"/>
    <x v="0"/>
  </r>
  <r>
    <n v="411"/>
    <x v="0"/>
  </r>
  <r>
    <n v="32.5"/>
    <x v="0"/>
  </r>
  <r>
    <n v="243.6"/>
    <x v="0"/>
  </r>
  <r>
    <n v="61.5"/>
    <x v="0"/>
  </r>
  <r>
    <n v="542.5"/>
    <x v="0"/>
  </r>
  <r>
    <n v="210"/>
    <x v="0"/>
  </r>
  <r>
    <n v="367.5"/>
    <x v="0"/>
  </r>
  <r>
    <n v="246"/>
    <x v="1"/>
  </r>
  <r>
    <n v="315"/>
    <x v="1"/>
  </r>
  <r>
    <n v="58.5"/>
    <x v="1"/>
  </r>
  <r>
    <n v="565.59999999999991"/>
    <x v="1"/>
  </r>
  <r>
    <n v="85"/>
    <x v="1"/>
  </r>
  <r>
    <n v="58.5"/>
    <x v="1"/>
  </r>
  <r>
    <n v="565.59999999999991"/>
    <x v="1"/>
  </r>
  <r>
    <n v="113"/>
    <x v="1"/>
  </r>
  <r>
    <n v="247.5"/>
    <x v="1"/>
  </r>
  <r>
    <n v="357"/>
    <x v="1"/>
  </r>
  <r>
    <n v="428.4"/>
    <x v="1"/>
  </r>
  <r>
    <n v="419.25"/>
    <x v="1"/>
  </r>
  <r>
    <n v="140"/>
    <x v="1"/>
  </r>
  <r>
    <n v="763.75"/>
    <x v="1"/>
  </r>
  <r>
    <n v="411.59999999999997"/>
    <x v="1"/>
  </r>
  <r>
    <n v="732"/>
    <x v="1"/>
  </r>
  <r>
    <n v="396"/>
    <x v="1"/>
  </r>
  <r>
    <n v="67.5"/>
    <x v="1"/>
  </r>
  <r>
    <n v="546"/>
    <x v="1"/>
  </r>
  <r>
    <n v="453"/>
    <x v="1"/>
  </r>
  <r>
    <n v="641.19999999999993"/>
    <x v="1"/>
  </r>
  <r>
    <n v="98"/>
    <x v="1"/>
  </r>
  <r>
    <n v="600"/>
    <x v="1"/>
  </r>
  <r>
    <n v="408"/>
    <x v="1"/>
  </r>
  <r>
    <n v="428.75"/>
    <x v="1"/>
  </r>
  <r>
    <n v="96.5"/>
    <x v="2"/>
  </r>
  <r>
    <n v="562.5"/>
    <x v="2"/>
  </r>
  <r>
    <n v="603"/>
    <x v="2"/>
  </r>
  <r>
    <n v="96.5"/>
    <x v="2"/>
  </r>
  <r>
    <n v="669.19999999999993"/>
    <x v="2"/>
  </r>
  <r>
    <n v="84"/>
    <x v="2"/>
  </r>
  <r>
    <n v="305.2"/>
    <x v="2"/>
  </r>
  <r>
    <n v="49.5"/>
    <x v="2"/>
  </r>
  <r>
    <n v="183"/>
    <x v="2"/>
  </r>
  <r>
    <n v="348.25"/>
    <x v="2"/>
  </r>
  <r>
    <n v="176.39999999999998"/>
    <x v="2"/>
  </r>
  <r>
    <n v="213.5"/>
    <x v="2"/>
  </r>
  <r>
    <n v="695.5"/>
    <x v="2"/>
  </r>
  <r>
    <n v="89.5"/>
    <x v="2"/>
  </r>
  <r>
    <n v="85.5"/>
    <x v="2"/>
  </r>
  <r>
    <n v="537"/>
    <x v="2"/>
  </r>
  <r>
    <n v="214.5"/>
    <x v="2"/>
  </r>
  <r>
    <n v="353.5"/>
    <x v="2"/>
  </r>
  <r>
    <n v="288.39999999999998"/>
    <x v="2"/>
  </r>
  <r>
    <n v="562.25"/>
    <x v="2"/>
  </r>
  <r>
    <n v="77.5"/>
    <x v="2"/>
  </r>
  <r>
    <n v="418.25"/>
    <x v="2"/>
  </r>
  <r>
    <n v="50"/>
    <x v="2"/>
  </r>
  <r>
    <n v="468"/>
    <x v="2"/>
  </r>
  <r>
    <n v="420"/>
    <x v="2"/>
  </r>
  <r>
    <n v="392"/>
    <x v="2"/>
  </r>
  <r>
    <n v="330"/>
    <x v="2"/>
  </r>
  <r>
    <n v="146.25"/>
    <x v="2"/>
  </r>
  <r>
    <n v="19.25"/>
    <x v="3"/>
  </r>
  <r>
    <n v="138"/>
    <x v="3"/>
  </r>
  <r>
    <n v="165.75"/>
    <x v="3"/>
  </r>
  <r>
    <n v="642"/>
    <x v="3"/>
  </r>
  <r>
    <n v="67.199999999999989"/>
    <x v="3"/>
  </r>
  <r>
    <n v="214.5"/>
    <x v="3"/>
  </r>
  <r>
    <n v="105"/>
    <x v="3"/>
  </r>
  <r>
    <n v="19.5"/>
    <x v="3"/>
  </r>
  <r>
    <n v="512.4"/>
    <x v="3"/>
  </r>
  <r>
    <n v="70.5"/>
    <x v="3"/>
  </r>
  <r>
    <n v="421.75"/>
    <x v="3"/>
  </r>
  <r>
    <n v="492.79999999999995"/>
    <x v="3"/>
  </r>
  <r>
    <n v="119.5"/>
    <x v="3"/>
  </r>
  <r>
    <n v="117.6"/>
    <x v="3"/>
  </r>
  <r>
    <n v="415"/>
    <x v="3"/>
  </r>
  <r>
    <n v="546"/>
    <x v="3"/>
  </r>
  <r>
    <n v="335"/>
    <x v="3"/>
  </r>
  <r>
    <n v="301"/>
    <x v="3"/>
  </r>
  <r>
    <n v="348"/>
    <x v="3"/>
  </r>
  <r>
    <n v="317.5"/>
    <x v="3"/>
  </r>
  <r>
    <n v="176.75"/>
    <x v="3"/>
  </r>
  <r>
    <n v="366.79999999999995"/>
    <x v="3"/>
  </r>
  <r>
    <n v="97.5"/>
    <x v="3"/>
  </r>
  <r>
    <n v="687"/>
    <x v="4"/>
  </r>
  <r>
    <n v="80"/>
    <x v="4"/>
  </r>
  <r>
    <n v="52.5"/>
    <x v="4"/>
  </r>
  <r>
    <n v="235.2"/>
    <x v="4"/>
  </r>
  <r>
    <n v="122.5"/>
    <x v="4"/>
  </r>
  <r>
    <n v="416"/>
    <x v="4"/>
  </r>
  <r>
    <n v="57"/>
    <x v="4"/>
  </r>
  <r>
    <n v="185.5"/>
    <x v="4"/>
  </r>
  <r>
    <n v="578.5"/>
    <x v="4"/>
  </r>
  <r>
    <n v="100.8"/>
    <x v="4"/>
  </r>
  <r>
    <n v="465"/>
    <x v="4"/>
  </r>
  <r>
    <n v="211.25"/>
    <x v="4"/>
  </r>
  <r>
    <n v="587.5"/>
    <x v="4"/>
  </r>
  <r>
    <n v="26.5"/>
    <x v="4"/>
  </r>
  <r>
    <n v="37"/>
    <x v="4"/>
  </r>
  <r>
    <n v="200"/>
    <x v="4"/>
  </r>
  <r>
    <n v="164.5"/>
    <x v="4"/>
  </r>
  <r>
    <n v="268.79999999999995"/>
    <x v="4"/>
  </r>
  <r>
    <n v="55.25"/>
    <x v="4"/>
  </r>
  <r>
    <n v="39.5"/>
    <x v="4"/>
  </r>
  <r>
    <n v="358.4"/>
    <x v="4"/>
  </r>
  <r>
    <n v="279"/>
    <x v="4"/>
  </r>
  <r>
    <n v="305"/>
    <x v="4"/>
  </r>
  <r>
    <n v="679.25"/>
    <x v="4"/>
  </r>
  <r>
    <n v="197.75"/>
    <x v="4"/>
  </r>
  <r>
    <n v="95.199999999999989"/>
    <x v="4"/>
  </r>
  <r>
    <n v="410"/>
    <x v="4"/>
  </r>
  <r>
    <n v="35"/>
    <x v="4"/>
  </r>
  <r>
    <n v="562.25"/>
    <x v="4"/>
  </r>
  <r>
    <n v="144"/>
    <x v="4"/>
  </r>
  <r>
    <n v="350"/>
    <x v="4"/>
  </r>
  <r>
    <n v="627"/>
    <x v="4"/>
  </r>
  <r>
    <n v="604.5"/>
    <x v="4"/>
  </r>
  <r>
    <n v="45"/>
    <x v="4"/>
  </r>
  <r>
    <n v="385"/>
    <x v="4"/>
  </r>
  <r>
    <n v="88.5"/>
    <x v="4"/>
  </r>
  <r>
    <n v="165"/>
    <x v="4"/>
  </r>
  <r>
    <n v="120.7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0CCE47-B73E-844C-8005-DEE7B33028EC}"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 Notes">
  <location ref="D2:E8" firstHeaderRow="1" firstDataRow="1" firstDataCol="1"/>
  <pivotFields count="2">
    <pivotField dataField="1" showAll="0"/>
    <pivotField axis="axisRow" showAll="0" sortType="descending">
      <items count="6">
        <item n="High maintenance, not sure if it's worth having them as a customer, but don't tell them that!" x="0"/>
        <item n="Friendly but a little old school. Talks way too much, set a time limit on calls." x="1"/>
        <item n="One of our best customers! Likes to talk about roses. Make sure to read all about roses on Wikipedia before meeting." x="2"/>
        <item n="CEO has three kids, first one is Charles, don't know the rest. CEO cares about Charles the most, so all good." x="3"/>
        <item n="New customer, make sure to please them! Very frugal, so reinforce how delicious AND inexpensive our cookies are." x="4"/>
        <item t="default"/>
      </items>
      <autoSortScope>
        <pivotArea dataOnly="0" outline="0" fieldPosition="0">
          <references count="1">
            <reference field="4294967294" count="1" selected="0">
              <x v="0"/>
            </reference>
          </references>
        </pivotArea>
      </autoSortScope>
    </pivotField>
  </pivotFields>
  <rowFields count="1">
    <field x="1"/>
  </rowFields>
  <rowItems count="6">
    <i>
      <x v="4"/>
    </i>
    <i>
      <x v="1"/>
    </i>
    <i>
      <x v="2"/>
    </i>
    <i>
      <x v="3"/>
    </i>
    <i>
      <x/>
    </i>
    <i t="grand">
      <x/>
    </i>
  </rowItems>
  <colItems count="1">
    <i/>
  </colItems>
  <dataFields count="1">
    <dataField name="Sum of Profit" fld="0" baseField="0" baseItem="0" numFmtId="44"/>
  </dataFields>
  <formats count="7">
    <format dxfId="59">
      <pivotArea outline="0" collapsedLevelsAreSubtotals="1" fieldPosition="0"/>
    </format>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9EB61-98AA-EA41-A9A8-959A7B41AE30}" name="PivotTable4"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Cookie Name">
  <location ref="A1:D8" firstHeaderRow="0" firstDataRow="1" firstDataCol="1"/>
  <pivotFields count="22">
    <pivotField showAll="0"/>
    <pivotField numFmtId="14" showAll="0">
      <items count="133">
        <item x="94"/>
        <item x="95"/>
        <item x="96"/>
        <item x="97"/>
        <item x="98"/>
        <item x="99"/>
        <item x="20"/>
        <item x="21"/>
        <item x="22"/>
        <item x="23"/>
        <item x="24"/>
        <item x="0"/>
        <item x="1"/>
        <item x="2"/>
        <item x="3"/>
        <item x="71"/>
        <item x="72"/>
        <item x="73"/>
        <item x="74"/>
        <item x="75"/>
        <item x="76"/>
        <item x="77"/>
        <item x="100"/>
        <item x="101"/>
        <item x="102"/>
        <item x="103"/>
        <item x="104"/>
        <item x="25"/>
        <item x="26"/>
        <item x="27"/>
        <item x="28"/>
        <item x="78"/>
        <item x="105"/>
        <item x="106"/>
        <item x="107"/>
        <item x="4"/>
        <item x="5"/>
        <item x="6"/>
        <item x="43"/>
        <item x="44"/>
        <item x="45"/>
        <item x="46"/>
        <item x="47"/>
        <item x="7"/>
        <item x="8"/>
        <item x="9"/>
        <item x="48"/>
        <item x="49"/>
        <item x="50"/>
        <item x="51"/>
        <item x="29"/>
        <item x="30"/>
        <item x="52"/>
        <item x="53"/>
        <item x="79"/>
        <item x="31"/>
        <item x="32"/>
        <item x="33"/>
        <item x="108"/>
        <item x="80"/>
        <item x="81"/>
        <item x="82"/>
        <item x="34"/>
        <item x="35"/>
        <item x="36"/>
        <item x="54"/>
        <item x="55"/>
        <item x="56"/>
        <item x="83"/>
        <item x="84"/>
        <item x="85"/>
        <item x="57"/>
        <item x="58"/>
        <item x="59"/>
        <item x="86"/>
        <item x="87"/>
        <item x="88"/>
        <item x="109"/>
        <item x="110"/>
        <item x="111"/>
        <item x="112"/>
        <item x="113"/>
        <item x="10"/>
        <item x="11"/>
        <item x="12"/>
        <item x="37"/>
        <item x="38"/>
        <item x="114"/>
        <item x="115"/>
        <item x="116"/>
        <item x="117"/>
        <item x="60"/>
        <item x="61"/>
        <item x="62"/>
        <item x="39"/>
        <item x="40"/>
        <item x="118"/>
        <item x="119"/>
        <item x="120"/>
        <item x="89"/>
        <item x="90"/>
        <item x="91"/>
        <item x="41"/>
        <item x="42"/>
        <item x="13"/>
        <item x="121"/>
        <item x="122"/>
        <item x="14"/>
        <item x="15"/>
        <item x="123"/>
        <item x="16"/>
        <item x="17"/>
        <item x="18"/>
        <item x="124"/>
        <item x="125"/>
        <item x="126"/>
        <item x="127"/>
        <item x="128"/>
        <item x="63"/>
        <item x="64"/>
        <item x="65"/>
        <item x="66"/>
        <item x="67"/>
        <item x="68"/>
        <item x="129"/>
        <item x="130"/>
        <item x="131"/>
        <item x="69"/>
        <item x="70"/>
        <item x="92"/>
        <item x="19"/>
        <item x="93"/>
        <item t="default"/>
      </items>
    </pivotField>
    <pivotField showAll="0"/>
    <pivotField showAll="0"/>
    <pivotField axis="axisRow" showAll="0">
      <items count="7">
        <item x="4"/>
        <item x="2"/>
        <item x="1"/>
        <item x="0"/>
        <item x="3"/>
        <item x="5"/>
        <item t="default"/>
      </items>
    </pivotField>
    <pivotField numFmtId="44" showAll="0"/>
    <pivotField numFmtId="44" showAll="0"/>
    <pivotField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Fields count="1">
    <field x="-2"/>
  </colFields>
  <colItems count="3">
    <i>
      <x/>
    </i>
    <i i="1">
      <x v="1"/>
    </i>
    <i i="2">
      <x v="2"/>
    </i>
  </colItems>
  <dataFields count="3">
    <dataField name="Total Cost" fld="9" baseField="0" baseItem="0"/>
    <dataField name="Total Sales Price" fld="8" baseField="0" baseItem="0"/>
    <dataField name="Total Profit" fld="10" baseField="0" baseItem="0"/>
  </dataFields>
  <formats count="10">
    <format dxfId="29">
      <pivotArea outline="0" collapsedLevelsAreSubtotals="1" fieldPosition="0"/>
    </format>
    <format dxfId="28">
      <pivotArea dataOnly="0" labelOnly="1" outline="0" fieldPosition="0">
        <references count="1">
          <reference field="4294967294" count="3">
            <x v="0"/>
            <x v="1"/>
            <x v="2"/>
          </reference>
        </references>
      </pivotArea>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grandRow="1" outline="0" fieldPosition="0"/>
    </format>
    <format dxfId="22">
      <pivotArea dataOnly="0" labelOnly="1" outline="0" fieldPosition="0">
        <references count="1">
          <reference field="4294967294" count="3">
            <x v="0"/>
            <x v="1"/>
            <x v="2"/>
          </reference>
        </references>
      </pivotArea>
    </format>
    <format dxfId="21">
      <pivotArea field="4" type="button" dataOnly="0" labelOnly="1" outline="0" axis="axisRow" fieldPosition="0"/>
    </format>
    <format dxfId="20">
      <pivotArea dataOnly="0" labelOnly="1" outline="0" fieldPosition="0">
        <references count="1">
          <reference field="4294967294" count="3">
            <x v="0"/>
            <x v="1"/>
            <x v="2"/>
          </reference>
        </references>
      </pivotArea>
    </format>
  </formats>
  <conditionalFormats count="2">
    <conditionalFormat priority="2">
      <pivotAreas count="1">
        <pivotArea type="data" collapsedLevelsAreSubtotals="1" fieldPosition="0">
          <references count="2">
            <reference field="4294967294" count="2" selected="0">
              <x v="0"/>
              <x v="1"/>
            </reference>
            <reference field="4" count="6">
              <x v="0"/>
              <x v="1"/>
              <x v="2"/>
              <x v="3"/>
              <x v="4"/>
              <x v="5"/>
            </reference>
          </references>
        </pivotArea>
      </pivotAreas>
    </conditionalFormat>
    <conditionalFormat scope="field" priority="3">
      <pivotAreas count="1">
        <pivotArea outline="0" collapsedLevelsAreSubtotals="1" fieldPosition="0">
          <references count="2">
            <reference field="4294967294" count="1" selected="0">
              <x v="2"/>
            </reference>
            <reference field="4" count="0" selected="0"/>
          </references>
        </pivotArea>
      </pivotAreas>
    </conditionalFormat>
  </conditionalFormats>
  <pivotTableStyleInfo name="PivotStyleLight16" showRowHeaders="1" showColHeaders="1" showRowStripes="0" showColStripes="0" showLastColumn="1"/>
  <filters count="1">
    <filter fld="1" type="dateBetween" evalOrder="-1" id="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433EC9-04E4-914D-A9A6-FFD5A08D4CFE}"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ookie Name">
  <location ref="N12:P19" firstHeaderRow="0" firstDataRow="1" firstDataCol="1"/>
  <pivotFields count="22">
    <pivotField showAll="0"/>
    <pivotField numFmtId="14" showAll="0">
      <items count="133">
        <item x="94"/>
        <item x="95"/>
        <item x="96"/>
        <item x="97"/>
        <item x="98"/>
        <item x="99"/>
        <item x="20"/>
        <item x="21"/>
        <item x="22"/>
        <item x="23"/>
        <item x="24"/>
        <item x="0"/>
        <item x="1"/>
        <item x="2"/>
        <item x="3"/>
        <item x="71"/>
        <item x="72"/>
        <item x="73"/>
        <item x="74"/>
        <item x="75"/>
        <item x="76"/>
        <item x="77"/>
        <item x="100"/>
        <item x="101"/>
        <item x="102"/>
        <item x="103"/>
        <item x="104"/>
        <item x="25"/>
        <item x="26"/>
        <item x="27"/>
        <item x="28"/>
        <item x="78"/>
        <item x="105"/>
        <item x="106"/>
        <item x="107"/>
        <item x="4"/>
        <item x="5"/>
        <item x="6"/>
        <item x="43"/>
        <item x="44"/>
        <item x="45"/>
        <item x="46"/>
        <item x="47"/>
        <item x="7"/>
        <item x="8"/>
        <item x="9"/>
        <item x="48"/>
        <item x="49"/>
        <item x="50"/>
        <item x="51"/>
        <item x="29"/>
        <item x="30"/>
        <item x="52"/>
        <item x="53"/>
        <item x="79"/>
        <item x="31"/>
        <item x="32"/>
        <item x="33"/>
        <item x="108"/>
        <item x="80"/>
        <item x="81"/>
        <item x="82"/>
        <item x="34"/>
        <item x="35"/>
        <item x="36"/>
        <item x="54"/>
        <item x="55"/>
        <item x="56"/>
        <item x="83"/>
        <item x="84"/>
        <item x="85"/>
        <item x="57"/>
        <item x="58"/>
        <item x="59"/>
        <item x="86"/>
        <item x="87"/>
        <item x="88"/>
        <item x="109"/>
        <item x="110"/>
        <item x="111"/>
        <item x="112"/>
        <item x="113"/>
        <item x="10"/>
        <item x="11"/>
        <item x="12"/>
        <item x="37"/>
        <item x="38"/>
        <item x="114"/>
        <item x="115"/>
        <item x="116"/>
        <item x="117"/>
        <item x="60"/>
        <item x="61"/>
        <item x="62"/>
        <item x="39"/>
        <item x="40"/>
        <item x="118"/>
        <item x="119"/>
        <item x="120"/>
        <item x="89"/>
        <item x="90"/>
        <item x="91"/>
        <item x="41"/>
        <item x="42"/>
        <item x="13"/>
        <item x="121"/>
        <item x="122"/>
        <item x="14"/>
        <item x="15"/>
        <item x="123"/>
        <item x="16"/>
        <item x="17"/>
        <item x="18"/>
        <item x="124"/>
        <item x="125"/>
        <item x="126"/>
        <item x="127"/>
        <item x="128"/>
        <item x="63"/>
        <item x="64"/>
        <item x="65"/>
        <item x="66"/>
        <item x="67"/>
        <item x="68"/>
        <item x="129"/>
        <item x="130"/>
        <item x="131"/>
        <item x="69"/>
        <item x="70"/>
        <item x="92"/>
        <item x="19"/>
        <item x="93"/>
        <item t="default"/>
      </items>
    </pivotField>
    <pivotField showAll="0"/>
    <pivotField showAll="0"/>
    <pivotField axis="axisRow" showAll="0" sortType="descending">
      <items count="7">
        <item x="4"/>
        <item x="2"/>
        <item x="1"/>
        <item x="0"/>
        <item x="3"/>
        <item x="5"/>
        <item t="default"/>
      </items>
      <autoSortScope>
        <pivotArea dataOnly="0" outline="0" fieldPosition="0">
          <references count="1">
            <reference field="4294967294" count="1" selected="0">
              <x v="1"/>
            </reference>
          </references>
        </pivotArea>
      </autoSortScope>
    </pivotField>
    <pivotField numFmtId="44" showAll="0"/>
    <pivotField numFmtId="44" showAll="0"/>
    <pivotField dataField="1" showAll="0">
      <items count="106">
        <item x="60"/>
        <item x="13"/>
        <item x="100"/>
        <item x="94"/>
        <item x="20"/>
        <item x="56"/>
        <item x="63"/>
        <item x="1"/>
        <item x="7"/>
        <item x="32"/>
        <item x="78"/>
        <item x="98"/>
        <item x="86"/>
        <item x="65"/>
        <item x="70"/>
        <item x="59"/>
        <item x="61"/>
        <item x="44"/>
        <item x="81"/>
        <item x="62"/>
        <item x="89"/>
        <item x="28"/>
        <item x="46"/>
        <item x="48"/>
        <item x="88"/>
        <item x="52"/>
        <item x="104"/>
        <item x="90"/>
        <item x="6"/>
        <item x="95"/>
        <item x="91"/>
        <item x="0"/>
        <item x="80"/>
        <item x="14"/>
        <item x="96"/>
        <item x="92"/>
        <item x="93"/>
        <item x="24"/>
        <item x="76"/>
        <item x="53"/>
        <item x="84"/>
        <item x="45"/>
        <item x="97"/>
        <item x="83"/>
        <item x="74"/>
        <item x="25"/>
        <item x="17"/>
        <item x="49"/>
        <item x="15"/>
        <item x="101"/>
        <item x="75"/>
        <item x="82"/>
        <item x="27"/>
        <item x="77"/>
        <item x="31"/>
        <item x="72"/>
        <item x="38"/>
        <item x="12"/>
        <item x="67"/>
        <item x="57"/>
        <item x="18"/>
        <item x="34"/>
        <item x="9"/>
        <item x="26"/>
        <item x="55"/>
        <item x="79"/>
        <item x="99"/>
        <item x="71"/>
        <item x="33"/>
        <item x="10"/>
        <item x="22"/>
        <item x="3"/>
        <item x="73"/>
        <item x="54"/>
        <item x="69"/>
        <item x="103"/>
        <item x="85"/>
        <item x="51"/>
        <item x="19"/>
        <item x="66"/>
        <item x="87"/>
        <item x="40"/>
        <item x="36"/>
        <item x="4"/>
        <item x="47"/>
        <item x="37"/>
        <item x="42"/>
        <item x="21"/>
        <item x="11"/>
        <item x="2"/>
        <item x="64"/>
        <item x="50"/>
        <item x="16"/>
        <item x="102"/>
        <item x="58"/>
        <item x="41"/>
        <item x="23"/>
        <item x="8"/>
        <item x="35"/>
        <item x="5"/>
        <item x="29"/>
        <item x="43"/>
        <item x="68"/>
        <item x="30"/>
        <item x="39"/>
        <item t="default"/>
      </items>
    </pivotField>
    <pivotField numFmtId="164" showAll="0"/>
    <pivotField dataField="1" numFmtId="164" showAll="0"/>
    <pivotField numFmtId="164"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1"/>
    </i>
    <i>
      <x v="4"/>
    </i>
    <i>
      <x/>
    </i>
    <i>
      <x v="3"/>
    </i>
    <i>
      <x v="2"/>
    </i>
    <i>
      <x v="5"/>
    </i>
    <i t="grand">
      <x/>
    </i>
  </rowItems>
  <colFields count="1">
    <field x="-2"/>
  </colFields>
  <colItems count="2">
    <i>
      <x/>
    </i>
    <i i="1">
      <x v="1"/>
    </i>
  </colItems>
  <dataFields count="2">
    <dataField name="Total Cost" fld="9" baseField="0" baseItem="0" numFmtId="44"/>
    <dataField name="Total Quantity Sold" fld="7" baseField="0" baseItem="0"/>
  </dataFields>
  <formats count="10">
    <format dxfId="39">
      <pivotArea outline="0" collapsedLevelsAreSubtotals="1" fieldPosition="0"/>
    </format>
    <format dxfId="38">
      <pivotArea field="4" type="button" dataOnly="0" labelOnly="1" outline="0" axis="axisRow" fieldPosition="0"/>
    </format>
    <format dxfId="37">
      <pivotArea dataOnly="0" labelOnly="1" outline="0" fieldPosition="0">
        <references count="1">
          <reference field="4294967294" count="2">
            <x v="0"/>
            <x v="1"/>
          </reference>
        </references>
      </pivotArea>
    </format>
    <format dxfId="36">
      <pivotArea type="all" dataOnly="0" outline="0" fieldPosition="0"/>
    </format>
    <format dxfId="35">
      <pivotArea outline="0" collapsedLevelsAreSubtotals="1" fieldPosition="0"/>
    </format>
    <format dxfId="34">
      <pivotArea field="4" type="button" dataOnly="0" labelOnly="1" outline="0" axis="axisRow" fieldPosition="0"/>
    </format>
    <format dxfId="33">
      <pivotArea dataOnly="0" labelOnly="1" fieldPosition="0">
        <references count="1">
          <reference field="4" count="0"/>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 dxfId="30">
      <pivotArea outline="0" collapsedLevelsAreSubtotals="1" fieldPosition="0">
        <references count="1">
          <reference field="4294967294" count="1" selected="0">
            <x v="1"/>
          </reference>
        </references>
      </pivotArea>
    </format>
  </formats>
  <chartFormats count="2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4" format="5">
      <pivotArea type="data" outline="0" fieldPosition="0">
        <references count="2">
          <reference field="4294967294" count="1" selected="0">
            <x v="0"/>
          </reference>
          <reference field="4" count="1" selected="0">
            <x v="4"/>
          </reference>
        </references>
      </pivotArea>
    </chartFormat>
    <chartFormat chart="4" format="6">
      <pivotArea type="data" outline="0" fieldPosition="0">
        <references count="2">
          <reference field="4294967294" count="1" selected="0">
            <x v="0"/>
          </reference>
          <reference field="4" count="1" selected="0">
            <x v="5"/>
          </reference>
        </references>
      </pivotArea>
    </chartFormat>
    <chartFormat chart="4" format="111" series="1">
      <pivotArea type="data" outline="0" fieldPosition="0">
        <references count="1">
          <reference field="4294967294" count="1" selected="0">
            <x v="1"/>
          </reference>
        </references>
      </pivotArea>
    </chartFormat>
    <chartFormat chart="4" format="112">
      <pivotArea type="data" outline="0" fieldPosition="0">
        <references count="2">
          <reference field="4294967294" count="1" selected="0">
            <x v="1"/>
          </reference>
          <reference field="4" count="1" selected="0">
            <x v="0"/>
          </reference>
        </references>
      </pivotArea>
    </chartFormat>
    <chartFormat chart="4" format="113">
      <pivotArea type="data" outline="0" fieldPosition="0">
        <references count="2">
          <reference field="4294967294" count="1" selected="0">
            <x v="1"/>
          </reference>
          <reference field="4" count="1" selected="0">
            <x v="1"/>
          </reference>
        </references>
      </pivotArea>
    </chartFormat>
    <chartFormat chart="4" format="114">
      <pivotArea type="data" outline="0" fieldPosition="0">
        <references count="2">
          <reference field="4294967294" count="1" selected="0">
            <x v="1"/>
          </reference>
          <reference field="4" count="1" selected="0">
            <x v="2"/>
          </reference>
        </references>
      </pivotArea>
    </chartFormat>
    <chartFormat chart="4" format="115">
      <pivotArea type="data" outline="0" fieldPosition="0">
        <references count="2">
          <reference field="4294967294" count="1" selected="0">
            <x v="1"/>
          </reference>
          <reference field="4" count="1" selected="0">
            <x v="3"/>
          </reference>
        </references>
      </pivotArea>
    </chartFormat>
    <chartFormat chart="4" format="116">
      <pivotArea type="data" outline="0" fieldPosition="0">
        <references count="2">
          <reference field="4294967294" count="1" selected="0">
            <x v="1"/>
          </reference>
          <reference field="4" count="1" selected="0">
            <x v="4"/>
          </reference>
        </references>
      </pivotArea>
    </chartFormat>
    <chartFormat chart="4" format="117">
      <pivotArea type="data" outline="0" fieldPosition="0">
        <references count="2">
          <reference field="4294967294" count="1" selected="0">
            <x v="1"/>
          </reference>
          <reference field="4" count="1" selected="0">
            <x v="5"/>
          </reference>
        </references>
      </pivotArea>
    </chartFormat>
    <chartFormat chart="15" format="118" series="1">
      <pivotArea type="data" outline="0" fieldPosition="0">
        <references count="1">
          <reference field="4294967294" count="1" selected="0">
            <x v="0"/>
          </reference>
        </references>
      </pivotArea>
    </chartFormat>
    <chartFormat chart="15" format="119">
      <pivotArea type="data" outline="0" fieldPosition="0">
        <references count="2">
          <reference field="4294967294" count="1" selected="0">
            <x v="0"/>
          </reference>
          <reference field="4" count="1" selected="0">
            <x v="0"/>
          </reference>
        </references>
      </pivotArea>
    </chartFormat>
    <chartFormat chart="15" format="120">
      <pivotArea type="data" outline="0" fieldPosition="0">
        <references count="2">
          <reference field="4294967294" count="1" selected="0">
            <x v="0"/>
          </reference>
          <reference field="4" count="1" selected="0">
            <x v="1"/>
          </reference>
        </references>
      </pivotArea>
    </chartFormat>
    <chartFormat chart="15" format="121">
      <pivotArea type="data" outline="0" fieldPosition="0">
        <references count="2">
          <reference field="4294967294" count="1" selected="0">
            <x v="0"/>
          </reference>
          <reference field="4" count="1" selected="0">
            <x v="2"/>
          </reference>
        </references>
      </pivotArea>
    </chartFormat>
    <chartFormat chart="15" format="122">
      <pivotArea type="data" outline="0" fieldPosition="0">
        <references count="2">
          <reference field="4294967294" count="1" selected="0">
            <x v="0"/>
          </reference>
          <reference field="4" count="1" selected="0">
            <x v="3"/>
          </reference>
        </references>
      </pivotArea>
    </chartFormat>
    <chartFormat chart="15" format="123">
      <pivotArea type="data" outline="0" fieldPosition="0">
        <references count="2">
          <reference field="4294967294" count="1" selected="0">
            <x v="0"/>
          </reference>
          <reference field="4" count="1" selected="0">
            <x v="4"/>
          </reference>
        </references>
      </pivotArea>
    </chartFormat>
    <chartFormat chart="15" format="124">
      <pivotArea type="data" outline="0" fieldPosition="0">
        <references count="2">
          <reference field="4294967294" count="1" selected="0">
            <x v="0"/>
          </reference>
          <reference field="4" count="1" selected="0">
            <x v="5"/>
          </reference>
        </references>
      </pivotArea>
    </chartFormat>
    <chartFormat chart="15" format="125" series="1">
      <pivotArea type="data" outline="0" fieldPosition="0">
        <references count="1">
          <reference field="4294967294" count="1" selected="0">
            <x v="1"/>
          </reference>
        </references>
      </pivotArea>
    </chartFormat>
    <chartFormat chart="15" format="126">
      <pivotArea type="data" outline="0" fieldPosition="0">
        <references count="2">
          <reference field="4294967294" count="1" selected="0">
            <x v="1"/>
          </reference>
          <reference field="4" count="1" selected="0">
            <x v="0"/>
          </reference>
        </references>
      </pivotArea>
    </chartFormat>
    <chartFormat chart="15" format="127">
      <pivotArea type="data" outline="0" fieldPosition="0">
        <references count="2">
          <reference field="4294967294" count="1" selected="0">
            <x v="1"/>
          </reference>
          <reference field="4" count="1" selected="0">
            <x v="1"/>
          </reference>
        </references>
      </pivotArea>
    </chartFormat>
    <chartFormat chart="15" format="128">
      <pivotArea type="data" outline="0" fieldPosition="0">
        <references count="2">
          <reference field="4294967294" count="1" selected="0">
            <x v="1"/>
          </reference>
          <reference field="4" count="1" selected="0">
            <x v="2"/>
          </reference>
        </references>
      </pivotArea>
    </chartFormat>
    <chartFormat chart="15" format="129">
      <pivotArea type="data" outline="0" fieldPosition="0">
        <references count="2">
          <reference field="4294967294" count="1" selected="0">
            <x v="1"/>
          </reference>
          <reference field="4" count="1" selected="0">
            <x v="3"/>
          </reference>
        </references>
      </pivotArea>
    </chartFormat>
    <chartFormat chart="15" format="130">
      <pivotArea type="data" outline="0" fieldPosition="0">
        <references count="2">
          <reference field="4294967294" count="1" selected="0">
            <x v="1"/>
          </reference>
          <reference field="4" count="1" selected="0">
            <x v="4"/>
          </reference>
        </references>
      </pivotArea>
    </chartFormat>
    <chartFormat chart="15" format="131">
      <pivotArea type="data" outline="0" fieldPosition="0">
        <references count="2">
          <reference field="4294967294"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D94465-6E1B-C74E-9227-D45CD5FE52C0}" name="PivotTable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ookie Name">
  <location ref="N2:P9" firstHeaderRow="0" firstDataRow="1" firstDataCol="1"/>
  <pivotFields count="22">
    <pivotField showAll="0"/>
    <pivotField numFmtId="14" showAll="0">
      <items count="133">
        <item x="94"/>
        <item x="95"/>
        <item x="96"/>
        <item x="97"/>
        <item x="98"/>
        <item x="99"/>
        <item x="20"/>
        <item x="21"/>
        <item x="22"/>
        <item x="23"/>
        <item x="24"/>
        <item x="0"/>
        <item x="1"/>
        <item x="2"/>
        <item x="3"/>
        <item x="71"/>
        <item x="72"/>
        <item x="73"/>
        <item x="74"/>
        <item x="75"/>
        <item x="76"/>
        <item x="77"/>
        <item x="100"/>
        <item x="101"/>
        <item x="102"/>
        <item x="103"/>
        <item x="104"/>
        <item x="25"/>
        <item x="26"/>
        <item x="27"/>
        <item x="28"/>
        <item x="78"/>
        <item x="105"/>
        <item x="106"/>
        <item x="107"/>
        <item x="4"/>
        <item x="5"/>
        <item x="6"/>
        <item x="43"/>
        <item x="44"/>
        <item x="45"/>
        <item x="46"/>
        <item x="47"/>
        <item x="7"/>
        <item x="8"/>
        <item x="9"/>
        <item x="48"/>
        <item x="49"/>
        <item x="50"/>
        <item x="51"/>
        <item x="29"/>
        <item x="30"/>
        <item x="52"/>
        <item x="53"/>
        <item x="79"/>
        <item x="31"/>
        <item x="32"/>
        <item x="33"/>
        <item x="108"/>
        <item x="80"/>
        <item x="81"/>
        <item x="82"/>
        <item x="34"/>
        <item x="35"/>
        <item x="36"/>
        <item x="54"/>
        <item x="55"/>
        <item x="56"/>
        <item x="83"/>
        <item x="84"/>
        <item x="85"/>
        <item x="57"/>
        <item x="58"/>
        <item x="59"/>
        <item x="86"/>
        <item x="87"/>
        <item x="88"/>
        <item x="109"/>
        <item x="110"/>
        <item x="111"/>
        <item x="112"/>
        <item x="113"/>
        <item x="10"/>
        <item x="11"/>
        <item x="12"/>
        <item x="37"/>
        <item x="38"/>
        <item x="114"/>
        <item x="115"/>
        <item x="116"/>
        <item x="117"/>
        <item x="60"/>
        <item x="61"/>
        <item x="62"/>
        <item x="39"/>
        <item x="40"/>
        <item x="118"/>
        <item x="119"/>
        <item x="120"/>
        <item x="89"/>
        <item x="90"/>
        <item x="91"/>
        <item x="41"/>
        <item x="42"/>
        <item x="13"/>
        <item x="121"/>
        <item x="122"/>
        <item x="14"/>
        <item x="15"/>
        <item x="123"/>
        <item x="16"/>
        <item x="17"/>
        <item x="18"/>
        <item x="124"/>
        <item x="125"/>
        <item x="126"/>
        <item x="127"/>
        <item x="128"/>
        <item x="63"/>
        <item x="64"/>
        <item x="65"/>
        <item x="66"/>
        <item x="67"/>
        <item x="68"/>
        <item x="129"/>
        <item x="130"/>
        <item x="131"/>
        <item x="69"/>
        <item x="70"/>
        <item x="92"/>
        <item x="19"/>
        <item x="93"/>
        <item t="default"/>
      </items>
    </pivotField>
    <pivotField showAll="0"/>
    <pivotField showAll="0"/>
    <pivotField axis="axisRow" showAll="0" sortType="ascending">
      <items count="7">
        <item x="4"/>
        <item x="2"/>
        <item x="1"/>
        <item x="0"/>
        <item x="3"/>
        <item x="5"/>
        <item t="default"/>
      </items>
      <autoSortScope>
        <pivotArea dataOnly="0" outline="0" fieldPosition="0">
          <references count="1">
            <reference field="4294967294" count="1" selected="0">
              <x v="0"/>
            </reference>
          </references>
        </pivotArea>
      </autoSortScope>
    </pivotField>
    <pivotField numFmtId="44" showAll="0"/>
    <pivotField numFmtId="44" showAll="0"/>
    <pivotField showAll="0"/>
    <pivotField dataField="1" numFmtId="164" showAll="0"/>
    <pivotField numFmtId="164" showAll="0"/>
    <pivotField dataField="1" numFmtId="16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v="1"/>
    </i>
    <i>
      <x v="4"/>
    </i>
    <i>
      <x v="3"/>
    </i>
    <i>
      <x v="2"/>
    </i>
    <i>
      <x/>
    </i>
    <i>
      <x v="5"/>
    </i>
    <i t="grand">
      <x/>
    </i>
  </rowItems>
  <colFields count="1">
    <field x="-2"/>
  </colFields>
  <colItems count="2">
    <i>
      <x/>
    </i>
    <i i="1">
      <x v="1"/>
    </i>
  </colItems>
  <dataFields count="2">
    <dataField name="Sum of Sales Price" fld="8" baseField="0" baseItem="0"/>
    <dataField name="Sum of Profit" fld="10" baseField="0" baseItem="0"/>
  </dataFields>
  <formats count="6">
    <format dxfId="45">
      <pivotArea outline="0" collapsedLevelsAreSubtotals="1" fieldPosition="0"/>
    </format>
    <format dxfId="44">
      <pivotArea type="all" dataOnly="0" outline="0" fieldPosition="0"/>
    </format>
    <format dxfId="43">
      <pivotArea outline="0" collapsedLevelsAreSubtotals="1"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dataOnly="0" labelOnly="1" grandRow="1" outline="0" fieldPosition="0"/>
    </format>
  </formats>
  <chartFormats count="1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D23A35-DC81-404B-AA96-650A1F088156}"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ity">
  <location ref="F22:G28" firstHeaderRow="1" firstDataRow="1" firstDataCol="1"/>
  <pivotFields count="22">
    <pivotField showAll="0"/>
    <pivotField numFmtId="14" showAll="0">
      <items count="133">
        <item x="94"/>
        <item x="95"/>
        <item x="96"/>
        <item x="97"/>
        <item x="98"/>
        <item x="99"/>
        <item x="20"/>
        <item x="21"/>
        <item x="22"/>
        <item x="23"/>
        <item x="24"/>
        <item x="0"/>
        <item x="1"/>
        <item x="2"/>
        <item x="3"/>
        <item x="71"/>
        <item x="72"/>
        <item x="73"/>
        <item x="74"/>
        <item x="75"/>
        <item x="76"/>
        <item x="77"/>
        <item x="100"/>
        <item x="101"/>
        <item x="102"/>
        <item x="103"/>
        <item x="104"/>
        <item x="25"/>
        <item x="26"/>
        <item x="27"/>
        <item x="28"/>
        <item x="78"/>
        <item x="105"/>
        <item x="106"/>
        <item x="107"/>
        <item x="4"/>
        <item x="5"/>
        <item x="6"/>
        <item x="43"/>
        <item x="44"/>
        <item x="45"/>
        <item x="46"/>
        <item x="47"/>
        <item x="7"/>
        <item x="8"/>
        <item x="9"/>
        <item x="48"/>
        <item x="49"/>
        <item x="50"/>
        <item x="51"/>
        <item x="29"/>
        <item x="30"/>
        <item x="52"/>
        <item x="53"/>
        <item x="79"/>
        <item x="31"/>
        <item x="32"/>
        <item x="33"/>
        <item x="108"/>
        <item x="80"/>
        <item x="81"/>
        <item x="82"/>
        <item x="34"/>
        <item x="35"/>
        <item x="36"/>
        <item x="54"/>
        <item x="55"/>
        <item x="56"/>
        <item x="83"/>
        <item x="84"/>
        <item x="85"/>
        <item x="57"/>
        <item x="58"/>
        <item x="59"/>
        <item x="86"/>
        <item x="87"/>
        <item x="88"/>
        <item x="109"/>
        <item x="110"/>
        <item x="111"/>
        <item x="112"/>
        <item x="113"/>
        <item x="10"/>
        <item x="11"/>
        <item x="12"/>
        <item x="37"/>
        <item x="38"/>
        <item x="114"/>
        <item x="115"/>
        <item x="116"/>
        <item x="117"/>
        <item x="60"/>
        <item x="61"/>
        <item x="62"/>
        <item x="39"/>
        <item x="40"/>
        <item x="118"/>
        <item x="119"/>
        <item x="120"/>
        <item x="89"/>
        <item x="90"/>
        <item x="91"/>
        <item x="41"/>
        <item x="42"/>
        <item x="13"/>
        <item x="121"/>
        <item x="122"/>
        <item x="14"/>
        <item x="15"/>
        <item x="123"/>
        <item x="16"/>
        <item x="17"/>
        <item x="18"/>
        <item x="124"/>
        <item x="125"/>
        <item x="126"/>
        <item x="127"/>
        <item x="128"/>
        <item x="63"/>
        <item x="64"/>
        <item x="65"/>
        <item x="66"/>
        <item x="67"/>
        <item x="68"/>
        <item x="129"/>
        <item x="130"/>
        <item x="131"/>
        <item x="69"/>
        <item x="70"/>
        <item x="92"/>
        <item x="19"/>
        <item x="93"/>
        <item t="default"/>
      </items>
    </pivotField>
    <pivotField showAll="0"/>
    <pivotField showAll="0"/>
    <pivotField showAll="0">
      <items count="7">
        <item x="4"/>
        <item x="2"/>
        <item x="1"/>
        <item x="0"/>
        <item x="3"/>
        <item x="5"/>
        <item t="default"/>
      </items>
    </pivotField>
    <pivotField numFmtId="44" showAll="0"/>
    <pivotField numFmtId="44" showAll="0"/>
    <pivotField showAll="0"/>
    <pivotField numFmtId="164" showAll="0"/>
    <pivotField numFmtId="164" showAll="0"/>
    <pivotField dataField="1" numFmtId="164" showAll="0"/>
    <pivotField showAll="0"/>
    <pivotField showAll="0"/>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6">
    <i>
      <x v="2"/>
    </i>
    <i>
      <x v="3"/>
    </i>
    <i>
      <x/>
    </i>
    <i>
      <x v="1"/>
    </i>
    <i>
      <x v="4"/>
    </i>
    <i t="grand">
      <x/>
    </i>
  </rowItems>
  <colItems count="1">
    <i/>
  </colItems>
  <dataFields count="1">
    <dataField name="Total Profit" fld="10" baseField="0" baseItem="0" numFmtId="44"/>
  </dataFields>
  <formats count="3">
    <format dxfId="48">
      <pivotArea outline="0" collapsedLevelsAreSubtotals="1" fieldPosition="0"/>
    </format>
    <format dxfId="47">
      <pivotArea field="13" type="button" dataOnly="0" labelOnly="1" outline="0" axis="axisRow" fieldPosition="0"/>
    </format>
    <format dxfId="46">
      <pivotArea dataOnly="0" labelOnly="1" outline="0" axis="axisValues" fieldPosition="0"/>
    </format>
  </format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4"/>
          </reference>
        </references>
      </pivotArea>
    </chartFormat>
    <chartFormat chart="1" format="2">
      <pivotArea type="data" outline="0" fieldPosition="0">
        <references count="2">
          <reference field="4294967294" count="1" selected="0">
            <x v="0"/>
          </reference>
          <reference field="13" count="1" selected="0">
            <x v="3"/>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0"/>
          </reference>
        </references>
      </pivotArea>
    </chartFormat>
    <chartFormat chart="1" format="5">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3" count="1" selected="0">
            <x v="2"/>
          </reference>
        </references>
      </pivotArea>
    </chartFormat>
    <chartFormat chart="9" format="8">
      <pivotArea type="data" outline="0" fieldPosition="0">
        <references count="2">
          <reference field="4294967294" count="1" selected="0">
            <x v="0"/>
          </reference>
          <reference field="13" count="1" selected="0">
            <x v="3"/>
          </reference>
        </references>
      </pivotArea>
    </chartFormat>
    <chartFormat chart="9" format="9">
      <pivotArea type="data" outline="0" fieldPosition="0">
        <references count="2">
          <reference field="4294967294" count="1" selected="0">
            <x v="0"/>
          </reference>
          <reference field="13" count="1" selected="0">
            <x v="0"/>
          </reference>
        </references>
      </pivotArea>
    </chartFormat>
    <chartFormat chart="9" format="10">
      <pivotArea type="data" outline="0" fieldPosition="0">
        <references count="2">
          <reference field="4294967294" count="1" selected="0">
            <x v="0"/>
          </reference>
          <reference field="13" count="1" selected="0">
            <x v="1"/>
          </reference>
        </references>
      </pivotArea>
    </chartFormat>
    <chartFormat chart="9" format="11">
      <pivotArea type="data" outline="0" fieldPosition="0">
        <references count="2">
          <reference field="4294967294" count="1" selected="0">
            <x v="0"/>
          </reference>
          <reference field="13"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3" count="1" selected="0">
            <x v="2"/>
          </reference>
        </references>
      </pivotArea>
    </chartFormat>
    <chartFormat chart="10" format="14">
      <pivotArea type="data" outline="0" fieldPosition="0">
        <references count="2">
          <reference field="4294967294" count="1" selected="0">
            <x v="0"/>
          </reference>
          <reference field="13" count="1" selected="0">
            <x v="3"/>
          </reference>
        </references>
      </pivotArea>
    </chartFormat>
    <chartFormat chart="10" format="15">
      <pivotArea type="data" outline="0" fieldPosition="0">
        <references count="2">
          <reference field="4294967294" count="1" selected="0">
            <x v="0"/>
          </reference>
          <reference field="13" count="1" selected="0">
            <x v="0"/>
          </reference>
        </references>
      </pivotArea>
    </chartFormat>
    <chartFormat chart="10" format="16">
      <pivotArea type="data" outline="0" fieldPosition="0">
        <references count="2">
          <reference field="4294967294" count="1" selected="0">
            <x v="0"/>
          </reference>
          <reference field="13" count="1" selected="0">
            <x v="1"/>
          </reference>
        </references>
      </pivotArea>
    </chartFormat>
    <chartFormat chart="10" format="17">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908CBC-EF57-8C46-A301-51DC87B06BD8}" name="PivotTable5" cacheId="36" applyNumberFormats="0" applyBorderFormats="0" applyFontFormats="0" applyPatternFormats="0" applyAlignmentFormats="0" applyWidthHeightFormats="1" dataCaption="Values" grandTotalCaption=" Total" updatedVersion="8" minRefreshableVersion="3" useAutoFormatting="1" itemPrintTitles="1" createdVersion="8" indent="0" outline="1" outlineData="1" multipleFieldFilters="0" chartFormat="23" rowHeaderCaption="Cookie Name" colHeaderCaption="Cookie ID">
  <location ref="A11:B18" firstHeaderRow="1" firstDataRow="1" firstDataCol="1"/>
  <pivotFields count="22">
    <pivotField showAll="0"/>
    <pivotField numFmtId="14" showAll="0">
      <items count="133">
        <item x="94"/>
        <item x="95"/>
        <item x="96"/>
        <item x="97"/>
        <item x="98"/>
        <item x="99"/>
        <item x="20"/>
        <item x="21"/>
        <item x="22"/>
        <item x="23"/>
        <item x="24"/>
        <item x="0"/>
        <item x="1"/>
        <item x="2"/>
        <item x="3"/>
        <item x="71"/>
        <item x="72"/>
        <item x="73"/>
        <item x="74"/>
        <item x="75"/>
        <item x="76"/>
        <item x="77"/>
        <item x="100"/>
        <item x="101"/>
        <item x="102"/>
        <item x="103"/>
        <item x="104"/>
        <item x="25"/>
        <item x="26"/>
        <item x="27"/>
        <item x="28"/>
        <item x="78"/>
        <item x="105"/>
        <item x="106"/>
        <item x="107"/>
        <item x="4"/>
        <item x="5"/>
        <item x="6"/>
        <item x="43"/>
        <item x="44"/>
        <item x="45"/>
        <item x="46"/>
        <item x="47"/>
        <item x="7"/>
        <item x="8"/>
        <item x="9"/>
        <item x="48"/>
        <item x="49"/>
        <item x="50"/>
        <item x="51"/>
        <item x="29"/>
        <item x="30"/>
        <item x="52"/>
        <item x="53"/>
        <item x="79"/>
        <item x="31"/>
        <item x="32"/>
        <item x="33"/>
        <item x="108"/>
        <item x="80"/>
        <item x="81"/>
        <item x="82"/>
        <item x="34"/>
        <item x="35"/>
        <item x="36"/>
        <item x="54"/>
        <item x="55"/>
        <item x="56"/>
        <item x="83"/>
        <item x="84"/>
        <item x="85"/>
        <item x="57"/>
        <item x="58"/>
        <item x="59"/>
        <item x="86"/>
        <item x="87"/>
        <item x="88"/>
        <item x="109"/>
        <item x="110"/>
        <item x="111"/>
        <item x="112"/>
        <item x="113"/>
        <item x="10"/>
        <item x="11"/>
        <item x="12"/>
        <item x="37"/>
        <item x="38"/>
        <item x="114"/>
        <item x="115"/>
        <item x="116"/>
        <item x="117"/>
        <item x="60"/>
        <item x="61"/>
        <item x="62"/>
        <item x="39"/>
        <item x="40"/>
        <item x="118"/>
        <item x="119"/>
        <item x="120"/>
        <item x="89"/>
        <item x="90"/>
        <item x="91"/>
        <item x="41"/>
        <item x="42"/>
        <item x="13"/>
        <item x="121"/>
        <item x="122"/>
        <item x="14"/>
        <item x="15"/>
        <item x="123"/>
        <item x="16"/>
        <item x="17"/>
        <item x="18"/>
        <item x="124"/>
        <item x="125"/>
        <item x="126"/>
        <item x="127"/>
        <item x="128"/>
        <item x="63"/>
        <item x="64"/>
        <item x="65"/>
        <item x="66"/>
        <item x="67"/>
        <item x="68"/>
        <item x="129"/>
        <item x="130"/>
        <item x="131"/>
        <item x="69"/>
        <item x="70"/>
        <item x="92"/>
        <item x="19"/>
        <item x="93"/>
        <item t="default"/>
      </items>
    </pivotField>
    <pivotField showAll="0"/>
    <pivotField showAll="0">
      <items count="7">
        <item x="4"/>
        <item x="2"/>
        <item x="1"/>
        <item x="0"/>
        <item x="3"/>
        <item x="5"/>
        <item t="default"/>
      </items>
    </pivotField>
    <pivotField axis="axisRow" showAll="0" sortType="descending">
      <items count="7">
        <item x="4"/>
        <item x="2"/>
        <item x="1"/>
        <item x="0"/>
        <item x="3"/>
        <item x="5"/>
        <item t="default"/>
      </items>
      <autoSortScope>
        <pivotArea dataOnly="0" outline="0" fieldPosition="0">
          <references count="1">
            <reference field="4294967294" count="1" selected="0">
              <x v="0"/>
            </reference>
          </references>
        </pivotArea>
      </autoSortScope>
    </pivotField>
    <pivotField numFmtId="44" showAll="0"/>
    <pivotField numFmtId="44" showAll="0"/>
    <pivotField dataField="1"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v="1"/>
    </i>
    <i>
      <x v="4"/>
    </i>
    <i>
      <x/>
    </i>
    <i>
      <x v="3"/>
    </i>
    <i>
      <x v="2"/>
    </i>
    <i>
      <x v="5"/>
    </i>
    <i t="grand">
      <x/>
    </i>
  </rowItems>
  <colItems count="1">
    <i/>
  </colItems>
  <dataFields count="1">
    <dataField name="Total Quantity Sold" fld="7" baseField="0" baseItem="0"/>
  </dataFields>
  <formats count="4">
    <format dxfId="52">
      <pivotArea type="all" dataOnly="0" outline="0" fieldPosition="0"/>
    </format>
    <format dxfId="51">
      <pivotArea dataOnly="0" labelOnly="1" grandCol="1" outline="0" fieldPosition="0"/>
    </format>
    <format dxfId="50">
      <pivotArea field="4" type="button" dataOnly="0" labelOnly="1" outline="0" axis="axisRow" fieldPosition="0"/>
    </format>
    <format dxfId="49">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okieName" xr10:uid="{D49505E8-F552-E244-ADB7-A9638E6051D7}" sourceName="CookieName">
  <pivotTables>
    <pivotTable tabId="6" name="PivotTable7"/>
  </pivotTables>
  <data>
    <tabular pivotCacheId="1335233621">
      <items count="6">
        <i x="4" s="1"/>
        <i x="2" s="1"/>
        <i x="1" s="1"/>
        <i x="0"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okieName" xr10:uid="{CFA395A8-5D35-BF48-8ED3-22CAAAD843DF}" cache="Slicer_CookieName" caption="CookieName"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70606A2-BC28-4E48-AE78-50B4A5B44C16}" sourceName="Date">
  <pivotTables>
    <pivotTable tabId="6" name="PivotTable4"/>
  </pivotTables>
  <state minimalRefreshVersion="6" lastRefreshVersion="6" pivotCacheId="1335233621" filterType="dateBetween">
    <selection startDate="2024-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98AEB7E-E4AD-2943-AEC4-3F5249A4E0D5}" cache="NativeTimeline_Date" caption="Date" level="0" selectionLevel="0" scrollPosition="2023-01-01T00:00:00"/>
</timeline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0AFFB-61AB-456B-A202-42E74D083B31}">
  <dimension ref="A1:R138"/>
  <sheetViews>
    <sheetView topLeftCell="G1" workbookViewId="0">
      <selection activeCell="D28" sqref="D28"/>
    </sheetView>
  </sheetViews>
  <sheetFormatPr baseColWidth="10" defaultColWidth="8.83203125" defaultRowHeight="15" x14ac:dyDescent="0.2"/>
  <cols>
    <col min="2" max="2" width="14.6640625" customWidth="1"/>
    <col min="5" max="5" width="30.83203125" customWidth="1"/>
    <col min="6" max="6" width="12.5" customWidth="1"/>
    <col min="7" max="7" width="11.83203125" customWidth="1"/>
    <col min="13" max="13" width="2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1</v>
      </c>
      <c r="B2">
        <v>45206</v>
      </c>
      <c r="C2">
        <v>1815</v>
      </c>
      <c r="D2">
        <v>1</v>
      </c>
      <c r="E2" t="s">
        <v>18</v>
      </c>
      <c r="F2">
        <v>5</v>
      </c>
      <c r="G2">
        <v>2</v>
      </c>
      <c r="H2">
        <v>229</v>
      </c>
      <c r="I2">
        <v>5</v>
      </c>
      <c r="J2" t="s">
        <v>19</v>
      </c>
      <c r="K2" t="s">
        <v>20</v>
      </c>
      <c r="L2" t="s">
        <v>21</v>
      </c>
      <c r="M2" t="s">
        <v>22</v>
      </c>
      <c r="N2" t="s">
        <v>23</v>
      </c>
      <c r="O2" t="s">
        <v>24</v>
      </c>
      <c r="P2" t="s">
        <v>25</v>
      </c>
      <c r="Q2" t="s">
        <v>26</v>
      </c>
      <c r="R2" t="s">
        <v>27</v>
      </c>
    </row>
    <row r="3" spans="1:18" x14ac:dyDescent="0.2">
      <c r="A3">
        <v>1</v>
      </c>
      <c r="B3">
        <v>45207</v>
      </c>
      <c r="C3">
        <v>1815</v>
      </c>
      <c r="D3">
        <v>2</v>
      </c>
      <c r="E3" t="s">
        <v>28</v>
      </c>
      <c r="F3">
        <v>1</v>
      </c>
      <c r="G3">
        <v>0.5</v>
      </c>
      <c r="H3">
        <v>160</v>
      </c>
      <c r="I3">
        <v>5</v>
      </c>
      <c r="J3" t="s">
        <v>19</v>
      </c>
      <c r="K3" t="s">
        <v>20</v>
      </c>
      <c r="L3" t="s">
        <v>21</v>
      </c>
      <c r="M3" t="s">
        <v>22</v>
      </c>
      <c r="N3" t="s">
        <v>23</v>
      </c>
      <c r="O3" t="s">
        <v>24</v>
      </c>
      <c r="P3" t="s">
        <v>25</v>
      </c>
      <c r="Q3" t="s">
        <v>26</v>
      </c>
      <c r="R3" t="s">
        <v>27</v>
      </c>
    </row>
    <row r="4" spans="1:18" x14ac:dyDescent="0.2">
      <c r="A4">
        <v>1</v>
      </c>
      <c r="B4">
        <v>45208</v>
      </c>
      <c r="C4">
        <v>1815</v>
      </c>
      <c r="D4">
        <v>5</v>
      </c>
      <c r="E4" t="s">
        <v>29</v>
      </c>
      <c r="F4">
        <v>3</v>
      </c>
      <c r="G4">
        <v>1.25</v>
      </c>
      <c r="H4">
        <v>30</v>
      </c>
      <c r="I4">
        <v>5</v>
      </c>
      <c r="J4" t="s">
        <v>19</v>
      </c>
      <c r="K4" t="s">
        <v>20</v>
      </c>
      <c r="L4" t="s">
        <v>21</v>
      </c>
      <c r="M4" t="s">
        <v>22</v>
      </c>
      <c r="N4" t="s">
        <v>23</v>
      </c>
      <c r="O4" t="s">
        <v>24</v>
      </c>
      <c r="P4" t="s">
        <v>25</v>
      </c>
      <c r="Q4" t="s">
        <v>26</v>
      </c>
      <c r="R4" t="s">
        <v>27</v>
      </c>
    </row>
    <row r="5" spans="1:18" x14ac:dyDescent="0.2">
      <c r="A5">
        <v>1</v>
      </c>
      <c r="B5">
        <v>45209</v>
      </c>
      <c r="C5">
        <v>1815</v>
      </c>
      <c r="D5">
        <v>3</v>
      </c>
      <c r="E5" t="s">
        <v>30</v>
      </c>
      <c r="F5">
        <v>5</v>
      </c>
      <c r="G5">
        <v>2.2000000000000002</v>
      </c>
      <c r="H5">
        <v>84</v>
      </c>
      <c r="I5">
        <v>5</v>
      </c>
      <c r="J5" t="s">
        <v>19</v>
      </c>
      <c r="K5" t="s">
        <v>20</v>
      </c>
      <c r="L5" t="s">
        <v>21</v>
      </c>
      <c r="M5" t="s">
        <v>22</v>
      </c>
      <c r="N5" t="s">
        <v>23</v>
      </c>
      <c r="O5" t="s">
        <v>24</v>
      </c>
      <c r="P5" t="s">
        <v>25</v>
      </c>
      <c r="Q5" t="s">
        <v>26</v>
      </c>
      <c r="R5" t="s">
        <v>27</v>
      </c>
    </row>
    <row r="6" spans="1:18" x14ac:dyDescent="0.2">
      <c r="A6">
        <v>2</v>
      </c>
      <c r="B6">
        <v>45210</v>
      </c>
      <c r="C6">
        <v>964</v>
      </c>
      <c r="D6">
        <v>4</v>
      </c>
      <c r="E6" t="s">
        <v>31</v>
      </c>
      <c r="F6">
        <v>4</v>
      </c>
      <c r="G6">
        <v>1.5</v>
      </c>
      <c r="H6">
        <v>49</v>
      </c>
      <c r="I6">
        <v>5</v>
      </c>
      <c r="J6" t="s">
        <v>19</v>
      </c>
      <c r="K6" t="s">
        <v>20</v>
      </c>
      <c r="L6" t="s">
        <v>21</v>
      </c>
      <c r="M6" t="s">
        <v>22</v>
      </c>
      <c r="N6" t="s">
        <v>23</v>
      </c>
      <c r="O6" t="s">
        <v>24</v>
      </c>
      <c r="P6">
        <v>36602</v>
      </c>
      <c r="Q6" t="s">
        <v>26</v>
      </c>
      <c r="R6" t="s">
        <v>27</v>
      </c>
    </row>
    <row r="7" spans="1:18" x14ac:dyDescent="0.2">
      <c r="A7">
        <v>2</v>
      </c>
      <c r="B7">
        <v>45211</v>
      </c>
      <c r="C7">
        <v>964</v>
      </c>
      <c r="D7">
        <v>6</v>
      </c>
      <c r="E7" t="s">
        <v>32</v>
      </c>
      <c r="F7">
        <v>6</v>
      </c>
      <c r="G7">
        <v>2.75</v>
      </c>
      <c r="H7">
        <v>128</v>
      </c>
      <c r="I7">
        <v>5</v>
      </c>
      <c r="J7" t="s">
        <v>19</v>
      </c>
      <c r="K7" t="s">
        <v>20</v>
      </c>
      <c r="L7" t="s">
        <v>21</v>
      </c>
      <c r="M7" t="s">
        <v>22</v>
      </c>
      <c r="N7" t="s">
        <v>23</v>
      </c>
      <c r="O7" t="s">
        <v>24</v>
      </c>
      <c r="P7" t="s">
        <v>25</v>
      </c>
      <c r="Q7" t="s">
        <v>26</v>
      </c>
      <c r="R7" t="s">
        <v>27</v>
      </c>
    </row>
    <row r="8" spans="1:18" x14ac:dyDescent="0.2">
      <c r="A8">
        <v>3</v>
      </c>
      <c r="B8">
        <v>45212</v>
      </c>
      <c r="C8">
        <v>2238</v>
      </c>
      <c r="D8">
        <v>1</v>
      </c>
      <c r="E8" t="s">
        <v>18</v>
      </c>
      <c r="F8">
        <v>5</v>
      </c>
      <c r="G8">
        <v>2</v>
      </c>
      <c r="H8">
        <v>82</v>
      </c>
      <c r="I8">
        <v>2</v>
      </c>
      <c r="J8" t="s">
        <v>33</v>
      </c>
      <c r="K8" t="s">
        <v>34</v>
      </c>
      <c r="L8" t="s">
        <v>35</v>
      </c>
      <c r="M8" t="s">
        <v>36</v>
      </c>
      <c r="N8" t="s">
        <v>37</v>
      </c>
      <c r="O8" t="s">
        <v>38</v>
      </c>
      <c r="P8" t="s">
        <v>39</v>
      </c>
      <c r="Q8" t="s">
        <v>26</v>
      </c>
      <c r="R8" t="s">
        <v>40</v>
      </c>
    </row>
    <row r="9" spans="1:18" x14ac:dyDescent="0.2">
      <c r="A9">
        <v>3</v>
      </c>
      <c r="B9">
        <v>45213</v>
      </c>
      <c r="C9">
        <v>2238</v>
      </c>
      <c r="D9">
        <v>5</v>
      </c>
      <c r="E9" t="s">
        <v>29</v>
      </c>
      <c r="F9">
        <v>3</v>
      </c>
      <c r="G9">
        <v>1.25</v>
      </c>
      <c r="H9">
        <v>180</v>
      </c>
      <c r="I9">
        <v>2</v>
      </c>
      <c r="J9" t="s">
        <v>33</v>
      </c>
      <c r="K9" t="s">
        <v>34</v>
      </c>
      <c r="L9" t="s">
        <v>35</v>
      </c>
      <c r="M9" t="s">
        <v>36</v>
      </c>
      <c r="N9" t="s">
        <v>37</v>
      </c>
      <c r="O9" t="s">
        <v>38</v>
      </c>
      <c r="P9" t="s">
        <v>39</v>
      </c>
      <c r="Q9" t="s">
        <v>26</v>
      </c>
      <c r="R9" t="s">
        <v>40</v>
      </c>
    </row>
    <row r="10" spans="1:18" x14ac:dyDescent="0.2">
      <c r="A10">
        <v>3</v>
      </c>
      <c r="B10">
        <v>45214</v>
      </c>
      <c r="C10">
        <v>2238</v>
      </c>
      <c r="D10">
        <v>6</v>
      </c>
      <c r="E10" t="s">
        <v>32</v>
      </c>
      <c r="F10">
        <v>6</v>
      </c>
      <c r="G10">
        <v>2.75</v>
      </c>
      <c r="H10">
        <v>18</v>
      </c>
      <c r="I10">
        <v>2</v>
      </c>
      <c r="J10" t="s">
        <v>33</v>
      </c>
      <c r="K10" t="s">
        <v>34</v>
      </c>
      <c r="L10" t="s">
        <v>35</v>
      </c>
      <c r="M10" t="s">
        <v>36</v>
      </c>
      <c r="N10" t="s">
        <v>37</v>
      </c>
      <c r="O10" t="s">
        <v>38</v>
      </c>
      <c r="P10" t="s">
        <v>39</v>
      </c>
      <c r="Q10" t="s">
        <v>26</v>
      </c>
      <c r="R10" t="s">
        <v>40</v>
      </c>
    </row>
    <row r="11" spans="1:18" x14ac:dyDescent="0.2">
      <c r="A11">
        <v>3</v>
      </c>
      <c r="B11">
        <v>45215</v>
      </c>
      <c r="C11">
        <v>2238</v>
      </c>
      <c r="D11">
        <v>3</v>
      </c>
      <c r="E11" t="s">
        <v>30</v>
      </c>
      <c r="F11">
        <v>5</v>
      </c>
      <c r="G11">
        <v>2.2000000000000002</v>
      </c>
      <c r="H11">
        <v>202</v>
      </c>
      <c r="I11">
        <v>2</v>
      </c>
      <c r="J11" t="s">
        <v>33</v>
      </c>
      <c r="K11" t="s">
        <v>34</v>
      </c>
      <c r="L11" t="s">
        <v>35</v>
      </c>
      <c r="M11" t="s">
        <v>36</v>
      </c>
      <c r="N11" t="s">
        <v>37</v>
      </c>
      <c r="O11" t="s">
        <v>38</v>
      </c>
      <c r="P11" t="s">
        <v>39</v>
      </c>
      <c r="Q11" t="s">
        <v>26</v>
      </c>
      <c r="R11" t="s">
        <v>40</v>
      </c>
    </row>
    <row r="12" spans="1:18" x14ac:dyDescent="0.2">
      <c r="A12">
        <v>3</v>
      </c>
      <c r="B12">
        <v>45216</v>
      </c>
      <c r="C12">
        <v>2238</v>
      </c>
      <c r="D12">
        <v>2</v>
      </c>
      <c r="E12" t="s">
        <v>28</v>
      </c>
      <c r="F12">
        <v>1</v>
      </c>
      <c r="G12">
        <v>0.5</v>
      </c>
      <c r="H12">
        <v>170</v>
      </c>
      <c r="I12">
        <v>2</v>
      </c>
      <c r="J12" t="s">
        <v>33</v>
      </c>
      <c r="K12" t="s">
        <v>34</v>
      </c>
      <c r="L12" t="s">
        <v>35</v>
      </c>
      <c r="M12" t="s">
        <v>36</v>
      </c>
      <c r="N12" t="s">
        <v>37</v>
      </c>
      <c r="O12" t="s">
        <v>38</v>
      </c>
      <c r="P12" t="s">
        <v>39</v>
      </c>
      <c r="Q12" t="s">
        <v>26</v>
      </c>
      <c r="R12" t="s">
        <v>40</v>
      </c>
    </row>
    <row r="13" spans="1:18" x14ac:dyDescent="0.2">
      <c r="A13">
        <v>4</v>
      </c>
      <c r="B13">
        <v>45217</v>
      </c>
      <c r="C13">
        <v>737</v>
      </c>
      <c r="D13">
        <v>4</v>
      </c>
      <c r="E13" t="s">
        <v>31</v>
      </c>
      <c r="F13">
        <v>4</v>
      </c>
      <c r="G13">
        <v>1.5</v>
      </c>
      <c r="H13">
        <v>82</v>
      </c>
      <c r="I13">
        <v>1</v>
      </c>
      <c r="J13" t="s">
        <v>41</v>
      </c>
      <c r="K13" t="s">
        <v>42</v>
      </c>
      <c r="L13" t="s">
        <v>43</v>
      </c>
      <c r="M13" t="s">
        <v>44</v>
      </c>
      <c r="N13" t="s">
        <v>45</v>
      </c>
      <c r="O13" t="s">
        <v>46</v>
      </c>
      <c r="P13" t="s">
        <v>47</v>
      </c>
      <c r="Q13" t="s">
        <v>26</v>
      </c>
      <c r="R13" t="s">
        <v>48</v>
      </c>
    </row>
    <row r="14" spans="1:18" x14ac:dyDescent="0.2">
      <c r="A14">
        <v>4</v>
      </c>
      <c r="B14">
        <v>45218</v>
      </c>
      <c r="C14">
        <v>737</v>
      </c>
      <c r="D14">
        <v>3</v>
      </c>
      <c r="E14" t="s">
        <v>30</v>
      </c>
      <c r="F14">
        <v>5</v>
      </c>
      <c r="G14">
        <v>2.2000000000000002</v>
      </c>
      <c r="H14">
        <v>25</v>
      </c>
      <c r="J14" t="s">
        <v>41</v>
      </c>
      <c r="K14" t="s">
        <v>42</v>
      </c>
      <c r="L14" t="s">
        <v>43</v>
      </c>
      <c r="M14" t="s">
        <v>44</v>
      </c>
      <c r="N14" t="s">
        <v>45</v>
      </c>
      <c r="O14" t="s">
        <v>46</v>
      </c>
      <c r="P14" t="s">
        <v>47</v>
      </c>
      <c r="Q14" t="s">
        <v>26</v>
      </c>
      <c r="R14" t="s">
        <v>48</v>
      </c>
    </row>
    <row r="15" spans="1:18" x14ac:dyDescent="0.2">
      <c r="A15">
        <v>4</v>
      </c>
      <c r="B15">
        <v>45219</v>
      </c>
      <c r="C15">
        <v>737</v>
      </c>
      <c r="D15">
        <v>2</v>
      </c>
      <c r="E15" t="s">
        <v>28</v>
      </c>
      <c r="F15">
        <v>1</v>
      </c>
      <c r="G15">
        <v>0.5</v>
      </c>
      <c r="H15">
        <v>209</v>
      </c>
      <c r="I15">
        <v>1</v>
      </c>
      <c r="J15" t="s">
        <v>41</v>
      </c>
      <c r="K15" t="s">
        <v>42</v>
      </c>
      <c r="L15" t="s">
        <v>43</v>
      </c>
      <c r="M15" t="s">
        <v>44</v>
      </c>
      <c r="N15" t="s">
        <v>45</v>
      </c>
      <c r="O15" t="s">
        <v>46</v>
      </c>
      <c r="P15" t="s">
        <v>47</v>
      </c>
      <c r="Q15" t="s">
        <v>26</v>
      </c>
      <c r="R15" t="s">
        <v>48</v>
      </c>
    </row>
    <row r="16" spans="1:18" x14ac:dyDescent="0.2">
      <c r="A16">
        <v>4</v>
      </c>
      <c r="B16">
        <v>45220</v>
      </c>
      <c r="C16">
        <v>737</v>
      </c>
      <c r="D16">
        <v>5</v>
      </c>
      <c r="E16" t="s">
        <v>29</v>
      </c>
      <c r="F16">
        <v>3</v>
      </c>
      <c r="G16">
        <v>1.25</v>
      </c>
      <c r="H16">
        <v>25</v>
      </c>
      <c r="I16">
        <v>1</v>
      </c>
      <c r="J16" t="s">
        <v>41</v>
      </c>
      <c r="K16" t="s">
        <v>42</v>
      </c>
      <c r="L16" t="s">
        <v>43</v>
      </c>
      <c r="M16" t="s">
        <v>44</v>
      </c>
      <c r="N16" t="s">
        <v>45</v>
      </c>
      <c r="O16" t="s">
        <v>46</v>
      </c>
      <c r="P16" t="s">
        <v>47</v>
      </c>
      <c r="Q16" t="s">
        <v>26</v>
      </c>
      <c r="R16" t="s">
        <v>48</v>
      </c>
    </row>
    <row r="17" spans="1:18" x14ac:dyDescent="0.2">
      <c r="A17">
        <v>5</v>
      </c>
      <c r="B17">
        <v>45221</v>
      </c>
      <c r="C17">
        <v>569</v>
      </c>
      <c r="D17">
        <v>5</v>
      </c>
      <c r="E17" t="s">
        <v>29</v>
      </c>
      <c r="F17">
        <v>3</v>
      </c>
      <c r="G17">
        <v>1.25</v>
      </c>
      <c r="H17">
        <v>11</v>
      </c>
      <c r="I17">
        <v>4</v>
      </c>
      <c r="J17" t="s">
        <v>49</v>
      </c>
      <c r="K17" t="s">
        <v>50</v>
      </c>
      <c r="L17" t="s">
        <v>51</v>
      </c>
      <c r="M17" t="s">
        <v>52</v>
      </c>
      <c r="N17" t="s">
        <v>53</v>
      </c>
      <c r="O17" t="s">
        <v>54</v>
      </c>
      <c r="P17" t="s">
        <v>55</v>
      </c>
      <c r="Q17" t="s">
        <v>26</v>
      </c>
      <c r="R17" t="s">
        <v>56</v>
      </c>
    </row>
    <row r="18" spans="1:18" x14ac:dyDescent="0.2">
      <c r="A18">
        <v>5</v>
      </c>
      <c r="B18">
        <v>45222</v>
      </c>
      <c r="C18">
        <v>569</v>
      </c>
      <c r="D18">
        <v>1</v>
      </c>
      <c r="E18" t="s">
        <v>18</v>
      </c>
      <c r="F18">
        <v>5</v>
      </c>
      <c r="G18">
        <v>2</v>
      </c>
      <c r="H18">
        <v>46</v>
      </c>
      <c r="I18">
        <v>4</v>
      </c>
      <c r="J18" t="s">
        <v>49</v>
      </c>
      <c r="K18" t="s">
        <v>50</v>
      </c>
      <c r="L18" t="s">
        <v>51</v>
      </c>
      <c r="M18" t="s">
        <v>52</v>
      </c>
      <c r="N18" t="s">
        <v>53</v>
      </c>
      <c r="O18" t="s">
        <v>54</v>
      </c>
      <c r="P18" t="s">
        <v>55</v>
      </c>
      <c r="Q18" t="s">
        <v>26</v>
      </c>
      <c r="R18" t="s">
        <v>56</v>
      </c>
    </row>
    <row r="19" spans="1:18" x14ac:dyDescent="0.2">
      <c r="A19">
        <v>5</v>
      </c>
      <c r="B19">
        <v>45223</v>
      </c>
      <c r="C19">
        <v>569</v>
      </c>
      <c r="D19">
        <v>6</v>
      </c>
      <c r="E19" t="s">
        <v>32</v>
      </c>
      <c r="F19">
        <v>6</v>
      </c>
      <c r="G19">
        <v>2.75</v>
      </c>
      <c r="H19">
        <v>51</v>
      </c>
      <c r="I19">
        <v>4</v>
      </c>
      <c r="J19" t="s">
        <v>49</v>
      </c>
      <c r="K19" t="s">
        <v>50</v>
      </c>
      <c r="L19" t="s">
        <v>51</v>
      </c>
      <c r="M19" t="s">
        <v>52</v>
      </c>
      <c r="N19" t="s">
        <v>53</v>
      </c>
      <c r="O19" t="s">
        <v>54</v>
      </c>
      <c r="P19" t="s">
        <v>55</v>
      </c>
      <c r="Q19" t="s">
        <v>26</v>
      </c>
      <c r="R19" t="s">
        <v>56</v>
      </c>
    </row>
    <row r="20" spans="1:18" x14ac:dyDescent="0.2">
      <c r="A20">
        <v>6</v>
      </c>
      <c r="B20">
        <v>45224</v>
      </c>
      <c r="C20">
        <v>1586</v>
      </c>
      <c r="D20">
        <v>1</v>
      </c>
      <c r="E20" t="s">
        <v>18</v>
      </c>
      <c r="F20">
        <v>5</v>
      </c>
      <c r="G20">
        <v>2</v>
      </c>
      <c r="H20">
        <v>214</v>
      </c>
      <c r="I20">
        <v>4</v>
      </c>
      <c r="J20" t="s">
        <v>49</v>
      </c>
      <c r="K20" t="s">
        <v>50</v>
      </c>
      <c r="L20" t="s">
        <v>51</v>
      </c>
      <c r="M20" t="s">
        <v>52</v>
      </c>
      <c r="N20" t="s">
        <v>53</v>
      </c>
      <c r="O20" t="s">
        <v>54</v>
      </c>
      <c r="P20" t="s">
        <v>55</v>
      </c>
      <c r="Q20" t="s">
        <v>26</v>
      </c>
      <c r="R20" t="s">
        <v>56</v>
      </c>
    </row>
    <row r="21" spans="1:18" x14ac:dyDescent="0.2">
      <c r="A21">
        <v>6</v>
      </c>
      <c r="B21">
        <v>45225</v>
      </c>
      <c r="C21">
        <v>1586</v>
      </c>
      <c r="D21">
        <v>3</v>
      </c>
      <c r="E21" t="s">
        <v>30</v>
      </c>
      <c r="F21">
        <v>5</v>
      </c>
      <c r="G21">
        <v>2.2000000000000002</v>
      </c>
      <c r="H21">
        <v>24</v>
      </c>
      <c r="I21">
        <v>4</v>
      </c>
      <c r="J21" t="s">
        <v>49</v>
      </c>
      <c r="K21" t="s">
        <v>50</v>
      </c>
      <c r="L21" t="s">
        <v>51</v>
      </c>
      <c r="M21" t="s">
        <v>52</v>
      </c>
      <c r="N21" t="s">
        <v>53</v>
      </c>
      <c r="O21" t="s">
        <v>54</v>
      </c>
      <c r="P21" t="s">
        <v>55</v>
      </c>
      <c r="Q21" t="s">
        <v>26</v>
      </c>
      <c r="R21" t="s">
        <v>56</v>
      </c>
    </row>
    <row r="22" spans="1:18" x14ac:dyDescent="0.2">
      <c r="A22">
        <v>6</v>
      </c>
      <c r="B22">
        <v>45226</v>
      </c>
      <c r="C22">
        <v>1586</v>
      </c>
      <c r="D22">
        <v>6</v>
      </c>
      <c r="E22" t="s">
        <v>32</v>
      </c>
      <c r="F22">
        <v>6</v>
      </c>
      <c r="G22">
        <v>2.75</v>
      </c>
      <c r="H22">
        <v>66</v>
      </c>
      <c r="I22">
        <v>4</v>
      </c>
      <c r="J22" t="s">
        <v>49</v>
      </c>
      <c r="K22" t="s">
        <v>50</v>
      </c>
      <c r="L22" t="s">
        <v>51</v>
      </c>
      <c r="M22" t="s">
        <v>52</v>
      </c>
      <c r="N22" t="s">
        <v>53</v>
      </c>
      <c r="O22" t="s">
        <v>54</v>
      </c>
      <c r="P22" t="s">
        <v>55</v>
      </c>
      <c r="Q22" t="s">
        <v>26</v>
      </c>
      <c r="R22" t="s">
        <v>56</v>
      </c>
    </row>
    <row r="23" spans="1:18" x14ac:dyDescent="0.2">
      <c r="A23">
        <v>7</v>
      </c>
      <c r="B23">
        <v>45227</v>
      </c>
      <c r="C23">
        <v>210</v>
      </c>
      <c r="D23">
        <v>2</v>
      </c>
      <c r="E23" t="s">
        <v>28</v>
      </c>
      <c r="F23">
        <v>1</v>
      </c>
      <c r="G23">
        <v>0.5</v>
      </c>
      <c r="H23">
        <v>210</v>
      </c>
      <c r="I23">
        <v>4</v>
      </c>
      <c r="J23" t="s">
        <v>49</v>
      </c>
      <c r="K23" t="s">
        <v>50</v>
      </c>
      <c r="L23" t="s">
        <v>51</v>
      </c>
      <c r="M23" t="s">
        <v>52</v>
      </c>
      <c r="N23" t="s">
        <v>53</v>
      </c>
      <c r="O23" t="s">
        <v>54</v>
      </c>
      <c r="P23" t="s">
        <v>55</v>
      </c>
      <c r="Q23" t="s">
        <v>26</v>
      </c>
      <c r="R23" t="s">
        <v>56</v>
      </c>
    </row>
    <row r="24" spans="1:18" x14ac:dyDescent="0.2">
      <c r="A24">
        <v>8</v>
      </c>
      <c r="B24">
        <v>45228</v>
      </c>
      <c r="C24">
        <v>2424</v>
      </c>
      <c r="D24">
        <v>2</v>
      </c>
      <c r="E24" t="s">
        <v>28</v>
      </c>
      <c r="F24">
        <v>1</v>
      </c>
      <c r="G24">
        <v>0.5</v>
      </c>
      <c r="H24">
        <v>114</v>
      </c>
      <c r="I24">
        <v>5</v>
      </c>
      <c r="J24" t="s">
        <v>19</v>
      </c>
      <c r="K24" t="s">
        <v>20</v>
      </c>
      <c r="L24" t="s">
        <v>21</v>
      </c>
      <c r="M24" t="s">
        <v>22</v>
      </c>
      <c r="N24" t="s">
        <v>23</v>
      </c>
      <c r="O24" t="s">
        <v>24</v>
      </c>
      <c r="P24" t="s">
        <v>25</v>
      </c>
      <c r="Q24" t="s">
        <v>26</v>
      </c>
      <c r="R24" t="s">
        <v>27</v>
      </c>
    </row>
    <row r="25" spans="1:18" x14ac:dyDescent="0.2">
      <c r="A25">
        <v>8</v>
      </c>
      <c r="B25">
        <v>45229</v>
      </c>
      <c r="C25">
        <v>2424</v>
      </c>
      <c r="D25">
        <v>5</v>
      </c>
      <c r="E25" t="s">
        <v>29</v>
      </c>
      <c r="F25">
        <v>3</v>
      </c>
      <c r="G25">
        <v>1.25</v>
      </c>
      <c r="H25">
        <v>106</v>
      </c>
      <c r="I25">
        <v>5</v>
      </c>
      <c r="J25" t="s">
        <v>19</v>
      </c>
      <c r="K25" t="s">
        <v>20</v>
      </c>
      <c r="L25" t="s">
        <v>21</v>
      </c>
      <c r="M25" t="s">
        <v>22</v>
      </c>
      <c r="N25" t="s">
        <v>23</v>
      </c>
      <c r="O25" t="s">
        <v>24</v>
      </c>
      <c r="P25" t="s">
        <v>25</v>
      </c>
      <c r="Q25" t="s">
        <v>26</v>
      </c>
      <c r="R25" t="s">
        <v>27</v>
      </c>
    </row>
    <row r="26" spans="1:18" x14ac:dyDescent="0.2">
      <c r="A26">
        <v>8</v>
      </c>
      <c r="B26">
        <v>45230</v>
      </c>
      <c r="C26">
        <v>2424</v>
      </c>
      <c r="D26">
        <v>6</v>
      </c>
      <c r="E26" t="s">
        <v>32</v>
      </c>
      <c r="F26">
        <v>6</v>
      </c>
      <c r="G26">
        <v>2.75</v>
      </c>
      <c r="H26">
        <v>178</v>
      </c>
      <c r="I26">
        <v>5</v>
      </c>
      <c r="J26" t="s">
        <v>19</v>
      </c>
      <c r="K26" t="s">
        <v>20</v>
      </c>
      <c r="L26" t="s">
        <v>21</v>
      </c>
      <c r="M26" t="s">
        <v>22</v>
      </c>
      <c r="N26" t="s">
        <v>23</v>
      </c>
      <c r="O26" t="s">
        <v>24</v>
      </c>
      <c r="P26" t="s">
        <v>25</v>
      </c>
      <c r="Q26" t="s">
        <v>26</v>
      </c>
      <c r="R26" t="s">
        <v>27</v>
      </c>
    </row>
    <row r="27" spans="1:18" x14ac:dyDescent="0.2">
      <c r="A27">
        <v>8</v>
      </c>
      <c r="B27">
        <v>45231</v>
      </c>
      <c r="C27">
        <v>2424</v>
      </c>
      <c r="D27">
        <v>3</v>
      </c>
      <c r="E27" t="s">
        <v>30</v>
      </c>
      <c r="F27">
        <v>5</v>
      </c>
      <c r="G27">
        <v>2.2000000000000002</v>
      </c>
      <c r="H27">
        <v>36</v>
      </c>
      <c r="I27">
        <v>5</v>
      </c>
      <c r="J27" t="s">
        <v>19</v>
      </c>
      <c r="K27" t="s">
        <v>20</v>
      </c>
      <c r="L27" t="s">
        <v>21</v>
      </c>
      <c r="M27" t="s">
        <v>22</v>
      </c>
      <c r="N27" t="s">
        <v>23</v>
      </c>
      <c r="O27" t="s">
        <v>24</v>
      </c>
      <c r="P27" t="s">
        <v>25</v>
      </c>
      <c r="Q27" t="s">
        <v>26</v>
      </c>
      <c r="R27" t="s">
        <v>27</v>
      </c>
    </row>
    <row r="28" spans="1:18" x14ac:dyDescent="0.2">
      <c r="A28">
        <v>8</v>
      </c>
      <c r="B28">
        <v>45232</v>
      </c>
      <c r="C28">
        <v>2424</v>
      </c>
      <c r="D28">
        <v>4</v>
      </c>
      <c r="E28" t="s">
        <v>31</v>
      </c>
      <c r="F28">
        <v>4</v>
      </c>
      <c r="G28">
        <v>1.5</v>
      </c>
      <c r="H28">
        <v>186</v>
      </c>
      <c r="I28">
        <v>5</v>
      </c>
      <c r="J28" t="s">
        <v>19</v>
      </c>
      <c r="K28" t="s">
        <v>20</v>
      </c>
      <c r="L28" t="s">
        <v>21</v>
      </c>
      <c r="M28" t="s">
        <v>22</v>
      </c>
      <c r="N28" t="s">
        <v>23</v>
      </c>
      <c r="O28" t="s">
        <v>24</v>
      </c>
      <c r="P28" t="s">
        <v>25</v>
      </c>
      <c r="Q28" t="s">
        <v>26</v>
      </c>
      <c r="R28" t="s">
        <v>27</v>
      </c>
    </row>
    <row r="29" spans="1:18" x14ac:dyDescent="0.2">
      <c r="A29">
        <v>9</v>
      </c>
      <c r="B29">
        <v>45233</v>
      </c>
      <c r="C29">
        <v>1982</v>
      </c>
      <c r="D29">
        <v>2</v>
      </c>
      <c r="E29" t="s">
        <v>28</v>
      </c>
      <c r="F29">
        <v>1</v>
      </c>
      <c r="G29">
        <v>0.5</v>
      </c>
      <c r="H29">
        <v>226</v>
      </c>
      <c r="I29">
        <v>2</v>
      </c>
      <c r="J29" t="s">
        <v>33</v>
      </c>
      <c r="K29" t="s">
        <v>34</v>
      </c>
      <c r="L29" t="s">
        <v>35</v>
      </c>
      <c r="M29" t="s">
        <v>36</v>
      </c>
      <c r="N29" t="s">
        <v>37</v>
      </c>
      <c r="O29" t="s">
        <v>38</v>
      </c>
      <c r="P29" t="s">
        <v>39</v>
      </c>
      <c r="Q29" t="s">
        <v>26</v>
      </c>
      <c r="R29" t="s">
        <v>40</v>
      </c>
    </row>
    <row r="30" spans="1:18" x14ac:dyDescent="0.2">
      <c r="A30">
        <v>9</v>
      </c>
      <c r="B30">
        <v>45234</v>
      </c>
      <c r="C30">
        <v>1982</v>
      </c>
      <c r="D30">
        <v>4</v>
      </c>
      <c r="E30" t="s">
        <v>31</v>
      </c>
      <c r="F30">
        <v>4</v>
      </c>
      <c r="G30">
        <v>1.5</v>
      </c>
      <c r="H30">
        <v>99</v>
      </c>
      <c r="I30">
        <v>2</v>
      </c>
      <c r="J30" t="s">
        <v>33</v>
      </c>
      <c r="K30" t="s">
        <v>34</v>
      </c>
      <c r="L30" t="s">
        <v>35</v>
      </c>
      <c r="M30" t="s">
        <v>36</v>
      </c>
      <c r="N30" t="s">
        <v>37</v>
      </c>
      <c r="O30" t="s">
        <v>38</v>
      </c>
      <c r="P30" t="s">
        <v>39</v>
      </c>
      <c r="Q30" t="s">
        <v>26</v>
      </c>
      <c r="R30" t="s">
        <v>40</v>
      </c>
    </row>
    <row r="31" spans="1:18" x14ac:dyDescent="0.2">
      <c r="A31">
        <v>9</v>
      </c>
      <c r="B31">
        <v>45235</v>
      </c>
      <c r="C31">
        <v>1982</v>
      </c>
      <c r="D31">
        <v>1</v>
      </c>
      <c r="E31" t="s">
        <v>18</v>
      </c>
      <c r="F31">
        <v>5</v>
      </c>
      <c r="G31">
        <v>2</v>
      </c>
      <c r="H31">
        <v>119</v>
      </c>
      <c r="I31">
        <v>2</v>
      </c>
      <c r="J31" t="s">
        <v>33</v>
      </c>
      <c r="K31" t="s">
        <v>34</v>
      </c>
      <c r="L31" t="s">
        <v>35</v>
      </c>
      <c r="M31" t="s">
        <v>36</v>
      </c>
      <c r="N31" t="s">
        <v>37</v>
      </c>
      <c r="O31" t="s">
        <v>38</v>
      </c>
      <c r="P31" t="s">
        <v>39</v>
      </c>
      <c r="Q31" t="s">
        <v>26</v>
      </c>
      <c r="R31" t="s">
        <v>40</v>
      </c>
    </row>
    <row r="33" spans="1:18" x14ac:dyDescent="0.2">
      <c r="A33">
        <v>9</v>
      </c>
      <c r="B33">
        <v>45236</v>
      </c>
      <c r="C33">
        <v>1982</v>
      </c>
      <c r="D33">
        <v>3</v>
      </c>
      <c r="E33" t="s">
        <v>30</v>
      </c>
      <c r="F33">
        <v>5</v>
      </c>
      <c r="G33">
        <v>2.2000000000000002</v>
      </c>
      <c r="H33">
        <v>153</v>
      </c>
      <c r="I33">
        <v>2</v>
      </c>
      <c r="J33" t="s">
        <v>33</v>
      </c>
      <c r="K33" t="s">
        <v>34</v>
      </c>
      <c r="L33" t="s">
        <v>35</v>
      </c>
      <c r="M33" t="s">
        <v>36</v>
      </c>
      <c r="N33" t="s">
        <v>37</v>
      </c>
      <c r="O33" t="s">
        <v>38</v>
      </c>
      <c r="P33" t="s">
        <v>39</v>
      </c>
      <c r="Q33" t="s">
        <v>26</v>
      </c>
      <c r="R33" t="s">
        <v>40</v>
      </c>
    </row>
    <row r="34" spans="1:18" x14ac:dyDescent="0.2">
      <c r="A34">
        <v>10</v>
      </c>
      <c r="B34">
        <v>45237</v>
      </c>
      <c r="C34">
        <v>39</v>
      </c>
      <c r="D34">
        <v>2</v>
      </c>
      <c r="E34" t="s">
        <v>28</v>
      </c>
      <c r="F34">
        <v>1</v>
      </c>
      <c r="G34">
        <v>0.5</v>
      </c>
      <c r="H34">
        <v>39</v>
      </c>
      <c r="I34">
        <v>4</v>
      </c>
      <c r="J34" t="s">
        <v>49</v>
      </c>
      <c r="K34" t="s">
        <v>50</v>
      </c>
      <c r="L34" t="s">
        <v>51</v>
      </c>
      <c r="M34" t="s">
        <v>52</v>
      </c>
      <c r="N34" t="s">
        <v>53</v>
      </c>
      <c r="O34" t="s">
        <v>54</v>
      </c>
      <c r="P34" t="s">
        <v>55</v>
      </c>
      <c r="Q34" t="s">
        <v>26</v>
      </c>
      <c r="R34" t="s">
        <v>56</v>
      </c>
    </row>
    <row r="35" spans="1:18" x14ac:dyDescent="0.2">
      <c r="A35">
        <v>11</v>
      </c>
      <c r="B35">
        <v>45238</v>
      </c>
      <c r="C35">
        <v>1383</v>
      </c>
      <c r="D35">
        <v>6</v>
      </c>
      <c r="E35" t="s">
        <v>32</v>
      </c>
      <c r="F35">
        <v>6</v>
      </c>
      <c r="G35">
        <v>2.75</v>
      </c>
      <c r="H35">
        <v>65</v>
      </c>
      <c r="I35">
        <v>5</v>
      </c>
      <c r="J35" t="s">
        <v>19</v>
      </c>
      <c r="K35" t="s">
        <v>20</v>
      </c>
      <c r="L35" t="s">
        <v>21</v>
      </c>
      <c r="M35" t="s">
        <v>22</v>
      </c>
      <c r="N35" t="s">
        <v>23</v>
      </c>
      <c r="O35" t="s">
        <v>24</v>
      </c>
      <c r="Q35" t="s">
        <v>26</v>
      </c>
      <c r="R35" t="s">
        <v>27</v>
      </c>
    </row>
    <row r="36" spans="1:18" x14ac:dyDescent="0.2">
      <c r="A36">
        <v>11</v>
      </c>
      <c r="B36">
        <v>45239</v>
      </c>
      <c r="C36">
        <v>1383</v>
      </c>
      <c r="D36">
        <v>4</v>
      </c>
      <c r="E36" t="s">
        <v>31</v>
      </c>
      <c r="F36">
        <v>4</v>
      </c>
      <c r="G36">
        <v>1.5</v>
      </c>
      <c r="H36">
        <v>235</v>
      </c>
      <c r="I36">
        <v>5</v>
      </c>
      <c r="J36" t="s">
        <v>19</v>
      </c>
      <c r="K36" t="s">
        <v>20</v>
      </c>
      <c r="L36" t="s">
        <v>21</v>
      </c>
      <c r="M36" t="s">
        <v>22</v>
      </c>
      <c r="N36" t="s">
        <v>23</v>
      </c>
      <c r="O36" t="s">
        <v>24</v>
      </c>
      <c r="P36" t="s">
        <v>25</v>
      </c>
      <c r="Q36" t="s">
        <v>26</v>
      </c>
      <c r="R36" t="s">
        <v>27</v>
      </c>
    </row>
    <row r="37" spans="1:18" x14ac:dyDescent="0.2">
      <c r="A37">
        <v>11</v>
      </c>
      <c r="B37">
        <v>45240</v>
      </c>
      <c r="C37">
        <v>1383</v>
      </c>
      <c r="D37">
        <v>2</v>
      </c>
      <c r="E37" t="s">
        <v>28</v>
      </c>
      <c r="F37">
        <v>1</v>
      </c>
      <c r="G37">
        <v>0.5</v>
      </c>
      <c r="H37">
        <v>53</v>
      </c>
      <c r="I37">
        <v>5</v>
      </c>
      <c r="J37" t="s">
        <v>19</v>
      </c>
      <c r="K37" t="s">
        <v>20</v>
      </c>
      <c r="L37" t="s">
        <v>21</v>
      </c>
      <c r="M37" t="s">
        <v>22</v>
      </c>
      <c r="N37" t="s">
        <v>23</v>
      </c>
      <c r="O37" t="s">
        <v>24</v>
      </c>
      <c r="P37" t="s">
        <v>25</v>
      </c>
      <c r="Q37" t="s">
        <v>26</v>
      </c>
      <c r="R37" t="s">
        <v>27</v>
      </c>
    </row>
    <row r="39" spans="1:18" x14ac:dyDescent="0.2">
      <c r="A39">
        <v>12</v>
      </c>
      <c r="B39">
        <v>45241</v>
      </c>
      <c r="C39">
        <v>1680</v>
      </c>
      <c r="D39">
        <v>1</v>
      </c>
      <c r="E39" t="s">
        <v>18</v>
      </c>
      <c r="F39">
        <v>5</v>
      </c>
      <c r="G39">
        <v>2</v>
      </c>
      <c r="H39">
        <v>171</v>
      </c>
      <c r="I39">
        <v>1</v>
      </c>
      <c r="J39" t="s">
        <v>41</v>
      </c>
      <c r="K39" t="s">
        <v>42</v>
      </c>
      <c r="L39" t="s">
        <v>43</v>
      </c>
      <c r="M39" t="s">
        <v>44</v>
      </c>
      <c r="N39" t="s">
        <v>45</v>
      </c>
      <c r="O39" t="s">
        <v>46</v>
      </c>
      <c r="P39" t="s">
        <v>47</v>
      </c>
      <c r="Q39" t="s">
        <v>26</v>
      </c>
      <c r="R39" t="s">
        <v>48</v>
      </c>
    </row>
    <row r="40" spans="1:18" x14ac:dyDescent="0.2">
      <c r="A40">
        <v>12</v>
      </c>
      <c r="B40">
        <v>45242</v>
      </c>
      <c r="C40">
        <v>1680</v>
      </c>
      <c r="D40">
        <v>5</v>
      </c>
      <c r="E40" t="s">
        <v>29</v>
      </c>
      <c r="F40">
        <v>3</v>
      </c>
      <c r="G40">
        <v>1.25</v>
      </c>
      <c r="H40">
        <v>197</v>
      </c>
      <c r="I40">
        <v>1</v>
      </c>
      <c r="J40" t="s">
        <v>41</v>
      </c>
      <c r="K40" t="s">
        <v>42</v>
      </c>
      <c r="L40" t="s">
        <v>43</v>
      </c>
      <c r="M40" t="s">
        <v>44</v>
      </c>
      <c r="N40" t="s">
        <v>45</v>
      </c>
      <c r="O40" t="s">
        <v>46</v>
      </c>
      <c r="P40" t="s">
        <v>47</v>
      </c>
      <c r="Q40" t="s">
        <v>26</v>
      </c>
      <c r="R40" t="s">
        <v>48</v>
      </c>
    </row>
    <row r="41" spans="1:18" x14ac:dyDescent="0.2">
      <c r="A41">
        <v>3</v>
      </c>
      <c r="B41">
        <v>45214</v>
      </c>
      <c r="C41">
        <v>2238</v>
      </c>
      <c r="D41">
        <v>6</v>
      </c>
      <c r="E41" t="s">
        <v>32</v>
      </c>
      <c r="F41">
        <v>6</v>
      </c>
      <c r="G41">
        <v>2.75</v>
      </c>
      <c r="H41">
        <v>18</v>
      </c>
      <c r="I41">
        <v>2</v>
      </c>
      <c r="J41" t="s">
        <v>33</v>
      </c>
      <c r="K41" t="s">
        <v>34</v>
      </c>
      <c r="L41" t="s">
        <v>35</v>
      </c>
      <c r="M41" t="s">
        <v>36</v>
      </c>
      <c r="N41" t="s">
        <v>37</v>
      </c>
      <c r="O41" t="s">
        <v>38</v>
      </c>
      <c r="P41" t="s">
        <v>39</v>
      </c>
      <c r="Q41" t="s">
        <v>26</v>
      </c>
      <c r="R41" t="s">
        <v>40</v>
      </c>
    </row>
    <row r="42" spans="1:18" x14ac:dyDescent="0.2">
      <c r="A42">
        <v>3</v>
      </c>
      <c r="B42">
        <v>45215</v>
      </c>
      <c r="C42">
        <v>2238</v>
      </c>
      <c r="D42">
        <v>3</v>
      </c>
      <c r="E42" t="s">
        <v>30</v>
      </c>
      <c r="F42">
        <v>5</v>
      </c>
      <c r="G42">
        <v>2.2000000000000002</v>
      </c>
      <c r="H42">
        <v>202</v>
      </c>
      <c r="I42">
        <v>2</v>
      </c>
      <c r="J42" t="s">
        <v>33</v>
      </c>
      <c r="K42" t="s">
        <v>34</v>
      </c>
      <c r="L42" t="s">
        <v>35</v>
      </c>
      <c r="M42" t="s">
        <v>36</v>
      </c>
      <c r="N42" t="s">
        <v>37</v>
      </c>
      <c r="O42" t="s">
        <v>38</v>
      </c>
      <c r="P42" t="s">
        <v>39</v>
      </c>
      <c r="Q42" t="s">
        <v>26</v>
      </c>
      <c r="R42" t="s">
        <v>40</v>
      </c>
    </row>
    <row r="43" spans="1:18" x14ac:dyDescent="0.2">
      <c r="A43">
        <v>12</v>
      </c>
      <c r="B43">
        <v>45243</v>
      </c>
      <c r="C43">
        <v>1680</v>
      </c>
      <c r="D43">
        <v>2</v>
      </c>
      <c r="E43" t="s">
        <v>28</v>
      </c>
      <c r="F43">
        <v>1</v>
      </c>
      <c r="G43">
        <v>0.5</v>
      </c>
      <c r="H43">
        <v>234</v>
      </c>
      <c r="I43">
        <v>1</v>
      </c>
      <c r="J43" t="s">
        <v>41</v>
      </c>
      <c r="K43" t="s">
        <v>42</v>
      </c>
      <c r="L43" t="s">
        <v>43</v>
      </c>
      <c r="M43" t="s">
        <v>44</v>
      </c>
      <c r="N43" t="s">
        <v>45</v>
      </c>
      <c r="O43" t="s">
        <v>46</v>
      </c>
      <c r="P43" t="s">
        <v>47</v>
      </c>
      <c r="Q43" t="s">
        <v>26</v>
      </c>
      <c r="R43" t="s">
        <v>48</v>
      </c>
    </row>
    <row r="44" spans="1:18" x14ac:dyDescent="0.2">
      <c r="A44">
        <v>13</v>
      </c>
      <c r="B44">
        <v>45244</v>
      </c>
      <c r="C44">
        <v>3293</v>
      </c>
      <c r="D44">
        <v>2</v>
      </c>
      <c r="E44" t="s">
        <v>28</v>
      </c>
      <c r="F44">
        <v>1</v>
      </c>
      <c r="G44">
        <v>0.5</v>
      </c>
      <c r="H44">
        <v>193</v>
      </c>
      <c r="I44">
        <v>3</v>
      </c>
      <c r="J44" t="s">
        <v>57</v>
      </c>
      <c r="K44" t="s">
        <v>58</v>
      </c>
      <c r="L44" t="s">
        <v>59</v>
      </c>
      <c r="M44" t="s">
        <v>60</v>
      </c>
      <c r="N44" t="s">
        <v>61</v>
      </c>
      <c r="O44" t="s">
        <v>62</v>
      </c>
      <c r="Q44" t="s">
        <v>26</v>
      </c>
      <c r="R44" t="s">
        <v>63</v>
      </c>
    </row>
    <row r="45" spans="1:18" x14ac:dyDescent="0.2">
      <c r="A45">
        <v>13</v>
      </c>
      <c r="B45">
        <v>45245</v>
      </c>
      <c r="C45">
        <v>3293</v>
      </c>
      <c r="D45">
        <v>4</v>
      </c>
      <c r="E45" t="s">
        <v>31</v>
      </c>
      <c r="F45">
        <v>4</v>
      </c>
      <c r="G45">
        <v>1.5</v>
      </c>
      <c r="H45">
        <v>225</v>
      </c>
      <c r="I45">
        <v>3</v>
      </c>
      <c r="J45" t="s">
        <v>57</v>
      </c>
      <c r="K45" t="s">
        <v>58</v>
      </c>
      <c r="L45" t="s">
        <v>59</v>
      </c>
      <c r="M45" t="s">
        <v>60</v>
      </c>
      <c r="N45" t="s">
        <v>61</v>
      </c>
      <c r="O45" t="s">
        <v>62</v>
      </c>
      <c r="P45" t="s">
        <v>64</v>
      </c>
      <c r="Q45" t="s">
        <v>26</v>
      </c>
      <c r="R45" t="s">
        <v>63</v>
      </c>
    </row>
    <row r="46" spans="1:18" x14ac:dyDescent="0.2">
      <c r="A46">
        <v>13</v>
      </c>
      <c r="B46">
        <v>45246</v>
      </c>
      <c r="C46">
        <v>3293</v>
      </c>
      <c r="D46">
        <v>1</v>
      </c>
      <c r="E46" t="s">
        <v>18</v>
      </c>
      <c r="F46">
        <v>5</v>
      </c>
      <c r="G46">
        <v>2</v>
      </c>
      <c r="H46">
        <v>201</v>
      </c>
      <c r="I46">
        <v>3</v>
      </c>
      <c r="J46" t="s">
        <v>57</v>
      </c>
      <c r="K46" t="s">
        <v>58</v>
      </c>
      <c r="L46" t="s">
        <v>59</v>
      </c>
      <c r="M46" t="s">
        <v>60</v>
      </c>
      <c r="N46" t="s">
        <v>61</v>
      </c>
      <c r="O46" t="s">
        <v>62</v>
      </c>
      <c r="P46" t="s">
        <v>64</v>
      </c>
      <c r="Q46" t="s">
        <v>26</v>
      </c>
      <c r="R46" t="s">
        <v>63</v>
      </c>
    </row>
    <row r="47" spans="1:18" x14ac:dyDescent="0.2">
      <c r="A47">
        <v>13</v>
      </c>
      <c r="B47">
        <v>45247</v>
      </c>
      <c r="C47">
        <v>3293</v>
      </c>
      <c r="D47">
        <v>2</v>
      </c>
      <c r="E47" t="s">
        <v>28</v>
      </c>
      <c r="F47">
        <v>1</v>
      </c>
      <c r="G47">
        <v>0.5</v>
      </c>
      <c r="H47">
        <v>193</v>
      </c>
      <c r="I47">
        <v>3</v>
      </c>
      <c r="J47" t="s">
        <v>57</v>
      </c>
      <c r="K47" t="s">
        <v>58</v>
      </c>
      <c r="L47" t="s">
        <v>59</v>
      </c>
      <c r="M47" t="s">
        <v>60</v>
      </c>
      <c r="N47" t="s">
        <v>61</v>
      </c>
      <c r="O47" t="s">
        <v>62</v>
      </c>
      <c r="P47" t="s">
        <v>64</v>
      </c>
      <c r="Q47" t="s">
        <v>26</v>
      </c>
      <c r="R47" t="s">
        <v>63</v>
      </c>
    </row>
    <row r="48" spans="1:18" x14ac:dyDescent="0.2">
      <c r="A48">
        <v>13</v>
      </c>
      <c r="B48">
        <v>45248</v>
      </c>
      <c r="C48">
        <v>3293</v>
      </c>
      <c r="D48">
        <v>3</v>
      </c>
      <c r="E48" t="s">
        <v>30</v>
      </c>
      <c r="F48">
        <v>5</v>
      </c>
      <c r="G48">
        <v>2.2000000000000002</v>
      </c>
      <c r="H48">
        <v>239</v>
      </c>
      <c r="I48">
        <v>3</v>
      </c>
      <c r="J48" t="s">
        <v>57</v>
      </c>
      <c r="K48" t="s">
        <v>58</v>
      </c>
      <c r="L48" t="s">
        <v>59</v>
      </c>
      <c r="M48" t="s">
        <v>60</v>
      </c>
      <c r="N48" t="s">
        <v>61</v>
      </c>
      <c r="O48" t="s">
        <v>62</v>
      </c>
      <c r="P48" t="s">
        <v>64</v>
      </c>
      <c r="Q48" t="s">
        <v>26</v>
      </c>
      <c r="R48" t="s">
        <v>63</v>
      </c>
    </row>
    <row r="49" spans="1:18" x14ac:dyDescent="0.2">
      <c r="A49">
        <v>14</v>
      </c>
      <c r="B49">
        <v>45249</v>
      </c>
      <c r="C49">
        <v>773</v>
      </c>
      <c r="D49">
        <v>3</v>
      </c>
      <c r="E49" t="s">
        <v>30</v>
      </c>
      <c r="F49">
        <v>5</v>
      </c>
      <c r="G49">
        <v>2.2000000000000002</v>
      </c>
      <c r="H49">
        <v>78</v>
      </c>
      <c r="I49">
        <v>1</v>
      </c>
      <c r="J49" t="s">
        <v>41</v>
      </c>
      <c r="K49" t="s">
        <v>42</v>
      </c>
      <c r="L49" t="s">
        <v>43</v>
      </c>
      <c r="M49" t="s">
        <v>44</v>
      </c>
      <c r="N49" t="s">
        <v>45</v>
      </c>
      <c r="O49" t="s">
        <v>46</v>
      </c>
      <c r="P49" t="s">
        <v>47</v>
      </c>
      <c r="Q49" t="s">
        <v>26</v>
      </c>
      <c r="R49" t="s">
        <v>48</v>
      </c>
    </row>
    <row r="50" spans="1:18" x14ac:dyDescent="0.2">
      <c r="A50">
        <v>14</v>
      </c>
      <c r="B50">
        <v>45250</v>
      </c>
      <c r="C50">
        <v>773</v>
      </c>
      <c r="D50">
        <v>6</v>
      </c>
      <c r="E50" t="s">
        <v>32</v>
      </c>
      <c r="F50">
        <v>6</v>
      </c>
      <c r="G50">
        <v>2.75</v>
      </c>
      <c r="H50">
        <v>26</v>
      </c>
      <c r="I50">
        <v>1</v>
      </c>
      <c r="J50" t="s">
        <v>41</v>
      </c>
      <c r="K50" t="s">
        <v>42</v>
      </c>
      <c r="L50" t="s">
        <v>43</v>
      </c>
      <c r="M50" t="s">
        <v>44</v>
      </c>
      <c r="N50" t="s">
        <v>45</v>
      </c>
      <c r="O50" t="s">
        <v>46</v>
      </c>
      <c r="P50" t="s">
        <v>47</v>
      </c>
      <c r="Q50" t="s">
        <v>26</v>
      </c>
      <c r="R50" t="s">
        <v>48</v>
      </c>
    </row>
    <row r="51" spans="1:18" x14ac:dyDescent="0.2">
      <c r="A51">
        <v>14</v>
      </c>
      <c r="B51">
        <v>45251</v>
      </c>
      <c r="C51">
        <v>773</v>
      </c>
      <c r="D51">
        <v>2</v>
      </c>
      <c r="E51" t="s">
        <v>28</v>
      </c>
      <c r="F51">
        <v>1</v>
      </c>
      <c r="G51">
        <v>0.5</v>
      </c>
      <c r="H51">
        <v>227</v>
      </c>
      <c r="I51">
        <v>1</v>
      </c>
      <c r="J51" t="s">
        <v>41</v>
      </c>
      <c r="K51" t="s">
        <v>42</v>
      </c>
      <c r="L51" t="s">
        <v>43</v>
      </c>
      <c r="M51" t="s">
        <v>44</v>
      </c>
      <c r="N51" t="s">
        <v>45</v>
      </c>
      <c r="O51" t="s">
        <v>46</v>
      </c>
      <c r="P51" t="s">
        <v>47</v>
      </c>
      <c r="Q51" t="s">
        <v>26</v>
      </c>
      <c r="R51" t="s">
        <v>48</v>
      </c>
    </row>
    <row r="52" spans="1:18" x14ac:dyDescent="0.2">
      <c r="A52">
        <v>15</v>
      </c>
      <c r="B52">
        <v>45252</v>
      </c>
      <c r="C52">
        <v>1093</v>
      </c>
      <c r="D52">
        <v>5</v>
      </c>
      <c r="E52" t="s">
        <v>65</v>
      </c>
      <c r="F52">
        <v>3</v>
      </c>
      <c r="G52">
        <v>1.25</v>
      </c>
      <c r="H52">
        <v>48</v>
      </c>
      <c r="I52">
        <v>3</v>
      </c>
      <c r="J52" t="s">
        <v>57</v>
      </c>
      <c r="K52" t="s">
        <v>58</v>
      </c>
      <c r="L52" t="s">
        <v>59</v>
      </c>
      <c r="M52" t="s">
        <v>60</v>
      </c>
      <c r="N52" t="s">
        <v>61</v>
      </c>
      <c r="O52" t="s">
        <v>62</v>
      </c>
      <c r="P52" t="s">
        <v>64</v>
      </c>
      <c r="Q52" t="s">
        <v>26</v>
      </c>
      <c r="R52" t="s">
        <v>63</v>
      </c>
    </row>
    <row r="53" spans="1:18" x14ac:dyDescent="0.2">
      <c r="A53">
        <v>15</v>
      </c>
      <c r="B53">
        <v>45253</v>
      </c>
      <c r="C53">
        <v>1093</v>
      </c>
      <c r="D53">
        <v>3</v>
      </c>
      <c r="E53" t="s">
        <v>30</v>
      </c>
      <c r="F53">
        <v>5</v>
      </c>
      <c r="G53">
        <v>2.2000000000000002</v>
      </c>
      <c r="H53">
        <v>109</v>
      </c>
      <c r="I53">
        <v>3</v>
      </c>
      <c r="J53" t="s">
        <v>57</v>
      </c>
      <c r="K53" t="s">
        <v>58</v>
      </c>
      <c r="L53" t="s">
        <v>59</v>
      </c>
      <c r="M53" t="s">
        <v>60</v>
      </c>
      <c r="N53" t="s">
        <v>61</v>
      </c>
      <c r="O53" t="s">
        <v>62</v>
      </c>
      <c r="Q53" t="s">
        <v>26</v>
      </c>
      <c r="R53" t="s">
        <v>63</v>
      </c>
    </row>
    <row r="54" spans="1:18" x14ac:dyDescent="0.2">
      <c r="A54">
        <v>15</v>
      </c>
      <c r="B54">
        <v>45254</v>
      </c>
      <c r="C54">
        <v>1093</v>
      </c>
      <c r="D54">
        <v>2</v>
      </c>
      <c r="E54" t="s">
        <v>28</v>
      </c>
      <c r="F54">
        <v>1</v>
      </c>
      <c r="G54">
        <v>0.5</v>
      </c>
      <c r="H54">
        <v>99</v>
      </c>
      <c r="I54">
        <v>3</v>
      </c>
      <c r="J54" t="s">
        <v>57</v>
      </c>
      <c r="K54" t="s">
        <v>58</v>
      </c>
      <c r="L54" t="s">
        <v>59</v>
      </c>
      <c r="M54" t="s">
        <v>60</v>
      </c>
      <c r="N54" t="s">
        <v>61</v>
      </c>
      <c r="O54" t="s">
        <v>62</v>
      </c>
      <c r="P54" t="s">
        <v>64</v>
      </c>
      <c r="Q54" t="s">
        <v>26</v>
      </c>
      <c r="R54" t="s">
        <v>63</v>
      </c>
    </row>
    <row r="55" spans="1:18" x14ac:dyDescent="0.2">
      <c r="A55">
        <v>15</v>
      </c>
      <c r="B55">
        <v>45255</v>
      </c>
      <c r="C55">
        <v>1093</v>
      </c>
      <c r="D55">
        <v>1</v>
      </c>
      <c r="E55" t="s">
        <v>18</v>
      </c>
      <c r="F55">
        <v>5</v>
      </c>
      <c r="G55">
        <v>2</v>
      </c>
      <c r="H55">
        <v>61</v>
      </c>
      <c r="I55">
        <v>3</v>
      </c>
      <c r="J55" t="s">
        <v>57</v>
      </c>
      <c r="K55" t="s">
        <v>58</v>
      </c>
      <c r="L55" t="s">
        <v>59</v>
      </c>
      <c r="M55" t="s">
        <v>60</v>
      </c>
      <c r="N55" t="s">
        <v>61</v>
      </c>
      <c r="O55" t="s">
        <v>62</v>
      </c>
      <c r="P55" t="s">
        <v>64</v>
      </c>
      <c r="Q55" t="s">
        <v>26</v>
      </c>
      <c r="R55" t="s">
        <v>63</v>
      </c>
    </row>
    <row r="56" spans="1:18" x14ac:dyDescent="0.2">
      <c r="A56">
        <v>16</v>
      </c>
      <c r="B56">
        <v>45256</v>
      </c>
      <c r="C56">
        <v>998</v>
      </c>
      <c r="D56">
        <v>6</v>
      </c>
      <c r="E56" t="s">
        <v>32</v>
      </c>
      <c r="F56">
        <v>6</v>
      </c>
      <c r="G56">
        <v>2.75</v>
      </c>
      <c r="H56">
        <v>129</v>
      </c>
      <c r="I56">
        <v>2</v>
      </c>
      <c r="J56" t="s">
        <v>33</v>
      </c>
      <c r="K56" t="s">
        <v>34</v>
      </c>
      <c r="L56" t="s">
        <v>35</v>
      </c>
      <c r="M56" t="s">
        <v>36</v>
      </c>
      <c r="N56" t="s">
        <v>37</v>
      </c>
      <c r="O56" t="s">
        <v>38</v>
      </c>
      <c r="P56" t="s">
        <v>39</v>
      </c>
      <c r="Q56" t="s">
        <v>26</v>
      </c>
      <c r="R56" t="s">
        <v>40</v>
      </c>
    </row>
    <row r="57" spans="1:18" x14ac:dyDescent="0.2">
      <c r="A57">
        <v>16</v>
      </c>
      <c r="B57">
        <v>45257</v>
      </c>
      <c r="C57">
        <v>998</v>
      </c>
      <c r="D57">
        <v>4</v>
      </c>
      <c r="E57" t="s">
        <v>31</v>
      </c>
      <c r="F57">
        <v>4</v>
      </c>
      <c r="G57">
        <v>1.5</v>
      </c>
      <c r="H57">
        <v>56</v>
      </c>
      <c r="J57" t="s">
        <v>33</v>
      </c>
      <c r="K57" t="s">
        <v>34</v>
      </c>
      <c r="L57" t="s">
        <v>35</v>
      </c>
      <c r="M57" t="s">
        <v>36</v>
      </c>
      <c r="N57" t="s">
        <v>37</v>
      </c>
      <c r="O57" t="s">
        <v>38</v>
      </c>
      <c r="P57" t="s">
        <v>39</v>
      </c>
      <c r="Q57" t="s">
        <v>26</v>
      </c>
      <c r="R57" t="s">
        <v>40</v>
      </c>
    </row>
    <row r="58" spans="1:18" x14ac:dyDescent="0.2">
      <c r="A58">
        <v>17</v>
      </c>
      <c r="B58">
        <v>45258</v>
      </c>
      <c r="C58">
        <v>912</v>
      </c>
      <c r="D58">
        <v>5</v>
      </c>
      <c r="E58" t="s">
        <v>29</v>
      </c>
      <c r="F58">
        <v>3</v>
      </c>
      <c r="G58">
        <v>1.25</v>
      </c>
      <c r="H58">
        <v>199</v>
      </c>
      <c r="I58">
        <v>3</v>
      </c>
      <c r="J58" t="s">
        <v>57</v>
      </c>
      <c r="K58" t="s">
        <v>58</v>
      </c>
      <c r="L58" t="s">
        <v>59</v>
      </c>
      <c r="M58" t="s">
        <v>60</v>
      </c>
      <c r="N58" t="s">
        <v>61</v>
      </c>
      <c r="O58" t="s">
        <v>62</v>
      </c>
      <c r="P58" t="s">
        <v>64</v>
      </c>
      <c r="Q58" t="s">
        <v>26</v>
      </c>
      <c r="R58" t="s">
        <v>63</v>
      </c>
    </row>
    <row r="59" spans="1:18" x14ac:dyDescent="0.2">
      <c r="A59">
        <v>17</v>
      </c>
      <c r="B59">
        <v>45259</v>
      </c>
      <c r="C59">
        <v>912</v>
      </c>
      <c r="D59">
        <v>3</v>
      </c>
      <c r="E59" t="s">
        <v>30</v>
      </c>
      <c r="F59">
        <v>5</v>
      </c>
      <c r="G59">
        <v>2.2000000000000002</v>
      </c>
      <c r="H59">
        <v>63</v>
      </c>
      <c r="I59">
        <v>3</v>
      </c>
      <c r="J59" t="s">
        <v>57</v>
      </c>
      <c r="K59" t="s">
        <v>58</v>
      </c>
      <c r="L59" t="s">
        <v>59</v>
      </c>
      <c r="M59" t="s">
        <v>60</v>
      </c>
      <c r="N59" t="s">
        <v>61</v>
      </c>
      <c r="O59" t="s">
        <v>62</v>
      </c>
      <c r="P59" t="s">
        <v>64</v>
      </c>
      <c r="Q59" t="s">
        <v>26</v>
      </c>
      <c r="R59" t="s">
        <v>63</v>
      </c>
    </row>
    <row r="60" spans="1:18" x14ac:dyDescent="0.2">
      <c r="A60">
        <v>18</v>
      </c>
      <c r="B60">
        <v>45260</v>
      </c>
      <c r="C60">
        <v>915</v>
      </c>
      <c r="D60">
        <v>3</v>
      </c>
      <c r="E60" t="s">
        <v>30</v>
      </c>
      <c r="F60">
        <v>5</v>
      </c>
      <c r="G60">
        <v>2.2000000000000002</v>
      </c>
      <c r="H60">
        <v>183</v>
      </c>
      <c r="I60">
        <v>4</v>
      </c>
      <c r="J60" t="s">
        <v>49</v>
      </c>
      <c r="K60" t="s">
        <v>50</v>
      </c>
      <c r="L60" t="s">
        <v>51</v>
      </c>
      <c r="M60" t="s">
        <v>52</v>
      </c>
      <c r="N60" t="s">
        <v>53</v>
      </c>
      <c r="O60" t="s">
        <v>54</v>
      </c>
      <c r="P60" t="s">
        <v>55</v>
      </c>
      <c r="Q60" t="s">
        <v>26</v>
      </c>
      <c r="R60" t="s">
        <v>56</v>
      </c>
    </row>
    <row r="62" spans="1:18" x14ac:dyDescent="0.2">
      <c r="A62">
        <v>19</v>
      </c>
      <c r="B62">
        <v>45261</v>
      </c>
      <c r="C62">
        <v>1410</v>
      </c>
      <c r="D62">
        <v>6</v>
      </c>
      <c r="E62" t="s">
        <v>32</v>
      </c>
      <c r="F62">
        <v>6</v>
      </c>
      <c r="G62">
        <v>2.75</v>
      </c>
      <c r="H62">
        <v>235</v>
      </c>
      <c r="I62">
        <v>2</v>
      </c>
      <c r="J62" t="s">
        <v>33</v>
      </c>
      <c r="K62" t="s">
        <v>34</v>
      </c>
      <c r="L62" t="s">
        <v>35</v>
      </c>
      <c r="M62" t="s">
        <v>36</v>
      </c>
      <c r="N62" t="s">
        <v>37</v>
      </c>
      <c r="O62" t="s">
        <v>38</v>
      </c>
      <c r="P62" t="s">
        <v>39</v>
      </c>
      <c r="Q62" t="s">
        <v>26</v>
      </c>
      <c r="R62" t="s">
        <v>40</v>
      </c>
    </row>
    <row r="63" spans="1:18" x14ac:dyDescent="0.2">
      <c r="A63">
        <v>20</v>
      </c>
      <c r="B63">
        <v>45262</v>
      </c>
      <c r="C63">
        <v>1955</v>
      </c>
      <c r="D63">
        <v>3</v>
      </c>
      <c r="E63" t="s">
        <v>30</v>
      </c>
      <c r="F63">
        <v>5</v>
      </c>
      <c r="G63">
        <v>2.2000000000000002</v>
      </c>
      <c r="H63">
        <v>147</v>
      </c>
      <c r="I63">
        <v>2</v>
      </c>
      <c r="J63" t="s">
        <v>33</v>
      </c>
      <c r="K63" t="s">
        <v>34</v>
      </c>
      <c r="L63" t="s">
        <v>35</v>
      </c>
      <c r="M63" t="s">
        <v>36</v>
      </c>
      <c r="N63" t="s">
        <v>37</v>
      </c>
      <c r="O63" t="s">
        <v>38</v>
      </c>
      <c r="P63" t="s">
        <v>39</v>
      </c>
      <c r="Q63" t="s">
        <v>26</v>
      </c>
      <c r="R63" t="s">
        <v>40</v>
      </c>
    </row>
    <row r="64" spans="1:18" x14ac:dyDescent="0.2">
      <c r="A64">
        <v>20</v>
      </c>
      <c r="B64">
        <v>45263</v>
      </c>
      <c r="C64">
        <v>1955</v>
      </c>
      <c r="D64">
        <v>1</v>
      </c>
      <c r="E64" t="s">
        <v>18</v>
      </c>
      <c r="F64">
        <v>5</v>
      </c>
      <c r="G64">
        <v>2</v>
      </c>
      <c r="H64">
        <v>244</v>
      </c>
      <c r="I64">
        <v>2</v>
      </c>
      <c r="J64" t="s">
        <v>33</v>
      </c>
      <c r="K64" t="s">
        <v>34</v>
      </c>
      <c r="L64" t="s">
        <v>35</v>
      </c>
      <c r="M64" t="s">
        <v>36</v>
      </c>
      <c r="N64" t="s">
        <v>37</v>
      </c>
      <c r="O64" t="s">
        <v>38</v>
      </c>
      <c r="P64" t="s">
        <v>39</v>
      </c>
      <c r="Q64" t="s">
        <v>26</v>
      </c>
      <c r="R64" t="s">
        <v>40</v>
      </c>
    </row>
    <row r="65" spans="1:18" x14ac:dyDescent="0.2">
      <c r="A65">
        <v>21</v>
      </c>
      <c r="B65">
        <v>45264</v>
      </c>
      <c r="C65">
        <v>74</v>
      </c>
      <c r="D65">
        <v>2</v>
      </c>
      <c r="E65" t="s">
        <v>28</v>
      </c>
      <c r="F65">
        <v>1</v>
      </c>
      <c r="G65">
        <v>0.5</v>
      </c>
      <c r="H65">
        <v>74</v>
      </c>
      <c r="I65">
        <v>5</v>
      </c>
      <c r="J65" t="s">
        <v>19</v>
      </c>
      <c r="K65" t="s">
        <v>20</v>
      </c>
      <c r="L65" t="s">
        <v>21</v>
      </c>
      <c r="M65" t="s">
        <v>22</v>
      </c>
      <c r="N65" t="s">
        <v>23</v>
      </c>
      <c r="O65" t="s">
        <v>24</v>
      </c>
      <c r="P65" t="s">
        <v>25</v>
      </c>
      <c r="Q65" t="s">
        <v>26</v>
      </c>
      <c r="R65" t="s">
        <v>27</v>
      </c>
    </row>
    <row r="66" spans="1:18" x14ac:dyDescent="0.2">
      <c r="A66">
        <v>22</v>
      </c>
      <c r="B66">
        <v>45265</v>
      </c>
      <c r="C66">
        <v>1744</v>
      </c>
      <c r="D66">
        <v>2</v>
      </c>
      <c r="E66" t="s">
        <v>28</v>
      </c>
      <c r="F66">
        <v>1</v>
      </c>
      <c r="G66">
        <v>0.5</v>
      </c>
      <c r="H66">
        <v>141</v>
      </c>
      <c r="I66">
        <v>4</v>
      </c>
      <c r="J66" t="s">
        <v>49</v>
      </c>
      <c r="K66" t="s">
        <v>50</v>
      </c>
      <c r="L66" t="s">
        <v>51</v>
      </c>
      <c r="M66" t="s">
        <v>52</v>
      </c>
      <c r="N66" t="s">
        <v>53</v>
      </c>
      <c r="O66" t="s">
        <v>54</v>
      </c>
      <c r="P66" t="s">
        <v>55</v>
      </c>
      <c r="Q66" t="s">
        <v>26</v>
      </c>
      <c r="R66" t="s">
        <v>56</v>
      </c>
    </row>
    <row r="67" spans="1:18" x14ac:dyDescent="0.2">
      <c r="A67">
        <v>22</v>
      </c>
      <c r="B67">
        <v>45266</v>
      </c>
      <c r="C67">
        <v>1744</v>
      </c>
      <c r="D67">
        <v>5</v>
      </c>
      <c r="E67" t="s">
        <v>65</v>
      </c>
      <c r="F67">
        <v>3</v>
      </c>
      <c r="G67">
        <v>1.25</v>
      </c>
      <c r="H67">
        <v>241</v>
      </c>
      <c r="I67">
        <v>4</v>
      </c>
      <c r="J67" t="s">
        <v>49</v>
      </c>
      <c r="K67" t="s">
        <v>50</v>
      </c>
      <c r="L67" t="s">
        <v>51</v>
      </c>
      <c r="M67" t="s">
        <v>52</v>
      </c>
      <c r="N67" t="s">
        <v>53</v>
      </c>
      <c r="O67" t="s">
        <v>54</v>
      </c>
      <c r="P67" t="s">
        <v>55</v>
      </c>
      <c r="Q67" t="s">
        <v>26</v>
      </c>
      <c r="R67" t="s">
        <v>56</v>
      </c>
    </row>
    <row r="68" spans="1:18" x14ac:dyDescent="0.2">
      <c r="A68">
        <v>22</v>
      </c>
      <c r="B68">
        <v>45267</v>
      </c>
      <c r="C68">
        <v>1744</v>
      </c>
      <c r="D68">
        <v>3</v>
      </c>
      <c r="E68" t="s">
        <v>30</v>
      </c>
      <c r="F68">
        <v>5</v>
      </c>
      <c r="G68">
        <v>2.2000000000000002</v>
      </c>
      <c r="H68">
        <v>176</v>
      </c>
      <c r="I68">
        <v>4</v>
      </c>
      <c r="J68" t="s">
        <v>49</v>
      </c>
      <c r="K68" t="s">
        <v>50</v>
      </c>
      <c r="L68" t="s">
        <v>51</v>
      </c>
      <c r="M68" t="s">
        <v>52</v>
      </c>
      <c r="N68" t="s">
        <v>53</v>
      </c>
      <c r="O68" t="s">
        <v>54</v>
      </c>
      <c r="P68" t="s">
        <v>55</v>
      </c>
      <c r="Q68" t="s">
        <v>26</v>
      </c>
      <c r="R68" t="s">
        <v>56</v>
      </c>
    </row>
    <row r="69" spans="1:18" x14ac:dyDescent="0.2">
      <c r="A69">
        <v>23</v>
      </c>
      <c r="B69">
        <v>45268</v>
      </c>
      <c r="C69">
        <v>1776</v>
      </c>
      <c r="D69">
        <v>1</v>
      </c>
      <c r="E69" t="s">
        <v>18</v>
      </c>
      <c r="F69">
        <v>5</v>
      </c>
      <c r="G69">
        <v>2</v>
      </c>
      <c r="H69">
        <v>132</v>
      </c>
      <c r="I69">
        <v>2</v>
      </c>
      <c r="J69" t="s">
        <v>33</v>
      </c>
      <c r="K69" t="s">
        <v>34</v>
      </c>
      <c r="L69" t="s">
        <v>35</v>
      </c>
      <c r="M69" t="s">
        <v>36</v>
      </c>
      <c r="N69" t="s">
        <v>37</v>
      </c>
      <c r="O69" t="s">
        <v>38</v>
      </c>
      <c r="P69" t="s">
        <v>39</v>
      </c>
      <c r="Q69" t="s">
        <v>26</v>
      </c>
      <c r="R69" t="s">
        <v>40</v>
      </c>
    </row>
    <row r="70" spans="1:18" x14ac:dyDescent="0.2">
      <c r="A70">
        <v>23</v>
      </c>
      <c r="B70">
        <v>45269</v>
      </c>
      <c r="C70">
        <v>1776</v>
      </c>
      <c r="D70">
        <v>4</v>
      </c>
      <c r="E70" t="s">
        <v>31</v>
      </c>
      <c r="F70">
        <v>4</v>
      </c>
      <c r="G70">
        <v>1.5</v>
      </c>
      <c r="H70">
        <v>27</v>
      </c>
      <c r="I70">
        <v>2</v>
      </c>
      <c r="J70" t="s">
        <v>33</v>
      </c>
      <c r="K70" t="s">
        <v>34</v>
      </c>
      <c r="L70" t="s">
        <v>35</v>
      </c>
      <c r="M70" t="s">
        <v>36</v>
      </c>
      <c r="N70" t="s">
        <v>37</v>
      </c>
      <c r="O70" t="s">
        <v>38</v>
      </c>
      <c r="P70" t="s">
        <v>39</v>
      </c>
      <c r="Q70" t="s">
        <v>26</v>
      </c>
      <c r="R70" t="s">
        <v>40</v>
      </c>
    </row>
    <row r="71" spans="1:18" x14ac:dyDescent="0.2">
      <c r="A71">
        <v>23</v>
      </c>
      <c r="B71">
        <v>45270</v>
      </c>
      <c r="C71">
        <v>1776</v>
      </c>
      <c r="D71">
        <v>6</v>
      </c>
      <c r="E71" t="s">
        <v>32</v>
      </c>
      <c r="F71">
        <v>6</v>
      </c>
      <c r="G71">
        <v>2.75</v>
      </c>
      <c r="H71">
        <v>168</v>
      </c>
      <c r="I71">
        <v>2</v>
      </c>
      <c r="J71" t="s">
        <v>33</v>
      </c>
      <c r="K71" t="s">
        <v>34</v>
      </c>
      <c r="L71" t="s">
        <v>35</v>
      </c>
      <c r="M71" t="s">
        <v>36</v>
      </c>
      <c r="N71" t="s">
        <v>37</v>
      </c>
      <c r="O71" t="s">
        <v>38</v>
      </c>
      <c r="P71" t="s">
        <v>39</v>
      </c>
      <c r="Q71" t="s">
        <v>26</v>
      </c>
      <c r="R71" t="s">
        <v>40</v>
      </c>
    </row>
    <row r="72" spans="1:18" x14ac:dyDescent="0.2">
      <c r="A72">
        <v>24</v>
      </c>
      <c r="B72">
        <v>45271</v>
      </c>
      <c r="C72">
        <v>1829</v>
      </c>
      <c r="E72" t="s">
        <v>29</v>
      </c>
      <c r="F72">
        <v>3</v>
      </c>
      <c r="G72">
        <v>1.25</v>
      </c>
      <c r="H72">
        <v>122</v>
      </c>
      <c r="I72">
        <v>3</v>
      </c>
      <c r="J72" t="s">
        <v>57</v>
      </c>
      <c r="K72" t="s">
        <v>58</v>
      </c>
      <c r="L72" t="s">
        <v>59</v>
      </c>
      <c r="M72" t="s">
        <v>60</v>
      </c>
      <c r="N72" t="s">
        <v>61</v>
      </c>
      <c r="O72" t="s">
        <v>62</v>
      </c>
      <c r="P72" t="s">
        <v>64</v>
      </c>
      <c r="Q72" t="s">
        <v>26</v>
      </c>
      <c r="R72" t="s">
        <v>63</v>
      </c>
    </row>
    <row r="73" spans="1:18" x14ac:dyDescent="0.2">
      <c r="A73">
        <v>24</v>
      </c>
      <c r="B73">
        <v>45272</v>
      </c>
      <c r="C73">
        <v>1829</v>
      </c>
      <c r="D73">
        <v>6</v>
      </c>
      <c r="E73" t="s">
        <v>32</v>
      </c>
      <c r="F73">
        <v>6</v>
      </c>
      <c r="G73">
        <v>2.75</v>
      </c>
      <c r="H73">
        <v>214</v>
      </c>
      <c r="I73">
        <v>3</v>
      </c>
      <c r="J73" t="s">
        <v>57</v>
      </c>
      <c r="K73" t="s">
        <v>58</v>
      </c>
      <c r="L73" t="s">
        <v>59</v>
      </c>
      <c r="M73" t="s">
        <v>60</v>
      </c>
      <c r="N73" t="s">
        <v>61</v>
      </c>
      <c r="O73" t="s">
        <v>62</v>
      </c>
      <c r="P73" t="s">
        <v>64</v>
      </c>
      <c r="Q73" t="s">
        <v>26</v>
      </c>
      <c r="R73" t="s">
        <v>63</v>
      </c>
    </row>
    <row r="74" spans="1:18" x14ac:dyDescent="0.2">
      <c r="A74">
        <v>24</v>
      </c>
      <c r="B74">
        <v>45273</v>
      </c>
      <c r="C74">
        <v>1829</v>
      </c>
      <c r="D74">
        <v>2</v>
      </c>
      <c r="E74" t="s">
        <v>28</v>
      </c>
      <c r="F74">
        <v>1</v>
      </c>
      <c r="G74">
        <v>0.5</v>
      </c>
      <c r="H74">
        <v>179</v>
      </c>
      <c r="I74">
        <v>3</v>
      </c>
      <c r="J74" t="s">
        <v>57</v>
      </c>
      <c r="K74" t="s">
        <v>58</v>
      </c>
      <c r="L74" t="s">
        <v>59</v>
      </c>
      <c r="M74" t="s">
        <v>60</v>
      </c>
      <c r="N74" t="s">
        <v>61</v>
      </c>
      <c r="O74" t="s">
        <v>62</v>
      </c>
      <c r="P74" t="s">
        <v>64</v>
      </c>
      <c r="Q74" t="s">
        <v>26</v>
      </c>
      <c r="R74" t="s">
        <v>63</v>
      </c>
    </row>
    <row r="75" spans="1:18" x14ac:dyDescent="0.2">
      <c r="A75">
        <v>25</v>
      </c>
      <c r="B75">
        <v>45274</v>
      </c>
      <c r="C75">
        <v>1113</v>
      </c>
      <c r="D75">
        <v>2</v>
      </c>
      <c r="E75" t="s">
        <v>28</v>
      </c>
      <c r="F75">
        <v>1</v>
      </c>
      <c r="G75">
        <v>0.5</v>
      </c>
      <c r="H75">
        <v>239</v>
      </c>
      <c r="I75">
        <v>4</v>
      </c>
      <c r="J75" t="s">
        <v>49</v>
      </c>
      <c r="K75" t="s">
        <v>50</v>
      </c>
      <c r="L75" t="s">
        <v>51</v>
      </c>
      <c r="M75" t="s">
        <v>52</v>
      </c>
      <c r="N75" t="s">
        <v>53</v>
      </c>
      <c r="O75" t="s">
        <v>54</v>
      </c>
      <c r="P75" t="s">
        <v>55</v>
      </c>
      <c r="Q75" t="s">
        <v>26</v>
      </c>
      <c r="R75" t="s">
        <v>56</v>
      </c>
    </row>
    <row r="76" spans="1:18" x14ac:dyDescent="0.2">
      <c r="A76">
        <v>25</v>
      </c>
      <c r="B76">
        <v>45275</v>
      </c>
      <c r="C76">
        <v>1113</v>
      </c>
      <c r="D76">
        <v>3</v>
      </c>
      <c r="E76" t="s">
        <v>30</v>
      </c>
      <c r="F76">
        <v>5</v>
      </c>
      <c r="G76">
        <v>2.2000000000000002</v>
      </c>
      <c r="H76">
        <v>42</v>
      </c>
      <c r="I76">
        <v>4</v>
      </c>
      <c r="J76" t="s">
        <v>49</v>
      </c>
      <c r="K76" t="s">
        <v>50</v>
      </c>
      <c r="L76" t="s">
        <v>51</v>
      </c>
      <c r="M76" t="s">
        <v>52</v>
      </c>
      <c r="N76" t="s">
        <v>53</v>
      </c>
      <c r="O76" t="s">
        <v>54</v>
      </c>
      <c r="P76" t="s">
        <v>55</v>
      </c>
      <c r="Q76" t="s">
        <v>26</v>
      </c>
      <c r="R76" t="s">
        <v>56</v>
      </c>
    </row>
    <row r="77" spans="1:18" x14ac:dyDescent="0.2">
      <c r="A77">
        <v>25</v>
      </c>
      <c r="B77">
        <v>45276</v>
      </c>
      <c r="C77">
        <v>1113</v>
      </c>
      <c r="D77">
        <v>4</v>
      </c>
      <c r="E77" t="s">
        <v>31</v>
      </c>
      <c r="F77">
        <v>4</v>
      </c>
      <c r="G77">
        <v>1.5</v>
      </c>
      <c r="H77">
        <v>166</v>
      </c>
      <c r="I77">
        <v>4</v>
      </c>
      <c r="J77" t="s">
        <v>49</v>
      </c>
      <c r="K77" t="s">
        <v>50</v>
      </c>
      <c r="L77" t="s">
        <v>51</v>
      </c>
      <c r="M77" t="s">
        <v>52</v>
      </c>
      <c r="N77" t="s">
        <v>53</v>
      </c>
      <c r="O77" t="s">
        <v>54</v>
      </c>
      <c r="P77" t="s">
        <v>55</v>
      </c>
      <c r="Q77" t="s">
        <v>26</v>
      </c>
      <c r="R77" t="s">
        <v>56</v>
      </c>
    </row>
    <row r="78" spans="1:18" x14ac:dyDescent="0.2">
      <c r="A78">
        <v>26</v>
      </c>
      <c r="B78">
        <v>45277</v>
      </c>
      <c r="C78">
        <v>171</v>
      </c>
      <c r="D78">
        <v>2</v>
      </c>
      <c r="E78" t="s">
        <v>28</v>
      </c>
      <c r="F78">
        <v>1</v>
      </c>
      <c r="G78">
        <v>0.5</v>
      </c>
      <c r="H78">
        <v>171</v>
      </c>
      <c r="I78">
        <v>3</v>
      </c>
      <c r="J78" t="s">
        <v>57</v>
      </c>
      <c r="K78" t="s">
        <v>58</v>
      </c>
      <c r="L78" t="s">
        <v>59</v>
      </c>
      <c r="M78" t="s">
        <v>60</v>
      </c>
      <c r="N78" t="s">
        <v>61</v>
      </c>
      <c r="O78" t="s">
        <v>62</v>
      </c>
      <c r="P78" t="s">
        <v>64</v>
      </c>
      <c r="Q78" t="s">
        <v>26</v>
      </c>
      <c r="R78" t="s">
        <v>63</v>
      </c>
    </row>
    <row r="79" spans="1:18" x14ac:dyDescent="0.2">
      <c r="A79">
        <v>27</v>
      </c>
      <c r="B79">
        <v>45278</v>
      </c>
      <c r="C79">
        <v>1291</v>
      </c>
      <c r="D79">
        <v>1</v>
      </c>
      <c r="E79" t="s">
        <v>18</v>
      </c>
      <c r="F79">
        <v>5</v>
      </c>
      <c r="G79">
        <v>2</v>
      </c>
      <c r="H79">
        <v>179</v>
      </c>
      <c r="I79">
        <v>3</v>
      </c>
      <c r="J79" t="s">
        <v>57</v>
      </c>
      <c r="K79" t="s">
        <v>58</v>
      </c>
      <c r="L79" t="s">
        <v>59</v>
      </c>
      <c r="M79" t="s">
        <v>60</v>
      </c>
      <c r="N79" t="s">
        <v>61</v>
      </c>
      <c r="O79" t="s">
        <v>62</v>
      </c>
      <c r="P79" t="s">
        <v>64</v>
      </c>
      <c r="Q79" t="s">
        <v>26</v>
      </c>
      <c r="R79" t="s">
        <v>63</v>
      </c>
    </row>
    <row r="80" spans="1:18" x14ac:dyDescent="0.2">
      <c r="A80">
        <v>27</v>
      </c>
      <c r="B80">
        <v>45279</v>
      </c>
      <c r="C80">
        <v>1291</v>
      </c>
      <c r="D80">
        <v>6</v>
      </c>
      <c r="E80" t="s">
        <v>32</v>
      </c>
      <c r="F80">
        <v>6</v>
      </c>
      <c r="G80">
        <v>2.75</v>
      </c>
      <c r="H80">
        <v>66</v>
      </c>
      <c r="I80">
        <v>3</v>
      </c>
      <c r="J80" t="s">
        <v>57</v>
      </c>
      <c r="K80" t="s">
        <v>58</v>
      </c>
      <c r="L80" t="s">
        <v>59</v>
      </c>
      <c r="M80" t="s">
        <v>60</v>
      </c>
      <c r="N80" t="s">
        <v>61</v>
      </c>
      <c r="O80" t="s">
        <v>62</v>
      </c>
      <c r="P80" t="s">
        <v>64</v>
      </c>
      <c r="Q80" t="s">
        <v>26</v>
      </c>
      <c r="R80" t="s">
        <v>63</v>
      </c>
    </row>
    <row r="81" spans="1:18" x14ac:dyDescent="0.2">
      <c r="A81">
        <v>28</v>
      </c>
      <c r="B81">
        <v>45280</v>
      </c>
      <c r="C81">
        <v>2060</v>
      </c>
      <c r="D81">
        <v>6</v>
      </c>
      <c r="E81" t="s">
        <v>32</v>
      </c>
      <c r="F81">
        <v>6</v>
      </c>
      <c r="G81">
        <v>2.75</v>
      </c>
      <c r="H81">
        <v>168</v>
      </c>
      <c r="I81">
        <v>4</v>
      </c>
      <c r="J81" t="s">
        <v>49</v>
      </c>
      <c r="K81" t="s">
        <v>50</v>
      </c>
      <c r="L81" t="s">
        <v>51</v>
      </c>
      <c r="M81" t="s">
        <v>52</v>
      </c>
      <c r="N81" t="s">
        <v>53</v>
      </c>
      <c r="O81" t="s">
        <v>54</v>
      </c>
      <c r="P81" t="s">
        <v>55</v>
      </c>
      <c r="Q81" t="s">
        <v>26</v>
      </c>
      <c r="R81" t="s">
        <v>56</v>
      </c>
    </row>
    <row r="82" spans="1:18" x14ac:dyDescent="0.2">
      <c r="A82">
        <v>28</v>
      </c>
      <c r="B82">
        <v>45281</v>
      </c>
      <c r="C82">
        <v>2060</v>
      </c>
      <c r="D82">
        <v>4</v>
      </c>
      <c r="E82" t="s">
        <v>31</v>
      </c>
      <c r="F82">
        <v>4</v>
      </c>
      <c r="G82">
        <v>1.5</v>
      </c>
      <c r="H82">
        <v>134</v>
      </c>
      <c r="I82">
        <v>4</v>
      </c>
      <c r="J82" t="s">
        <v>49</v>
      </c>
      <c r="K82" t="s">
        <v>50</v>
      </c>
      <c r="L82" t="s">
        <v>51</v>
      </c>
      <c r="M82" t="s">
        <v>52</v>
      </c>
      <c r="N82" t="s">
        <v>53</v>
      </c>
      <c r="O82" t="s">
        <v>54</v>
      </c>
      <c r="P82" t="s">
        <v>55</v>
      </c>
      <c r="Q82" t="s">
        <v>26</v>
      </c>
      <c r="R82" t="s">
        <v>56</v>
      </c>
    </row>
    <row r="83" spans="1:18" x14ac:dyDescent="0.2">
      <c r="A83">
        <v>28</v>
      </c>
      <c r="B83">
        <v>45282</v>
      </c>
      <c r="C83">
        <v>2060</v>
      </c>
      <c r="D83">
        <v>5</v>
      </c>
      <c r="E83" t="s">
        <v>29</v>
      </c>
      <c r="F83">
        <v>3</v>
      </c>
      <c r="G83">
        <v>1.25</v>
      </c>
      <c r="H83">
        <v>172</v>
      </c>
      <c r="I83">
        <v>4</v>
      </c>
      <c r="J83" t="s">
        <v>49</v>
      </c>
      <c r="K83" t="s">
        <v>50</v>
      </c>
      <c r="L83" t="s">
        <v>51</v>
      </c>
      <c r="M83" t="s">
        <v>52</v>
      </c>
      <c r="N83" t="s">
        <v>53</v>
      </c>
      <c r="O83" t="s">
        <v>54</v>
      </c>
      <c r="P83" t="s">
        <v>55</v>
      </c>
      <c r="Q83" t="s">
        <v>26</v>
      </c>
      <c r="R83" t="s">
        <v>56</v>
      </c>
    </row>
    <row r="84" spans="1:18" x14ac:dyDescent="0.2">
      <c r="A84">
        <v>29</v>
      </c>
      <c r="B84">
        <v>45283</v>
      </c>
      <c r="C84">
        <v>1263</v>
      </c>
      <c r="D84">
        <v>4</v>
      </c>
      <c r="E84" t="s">
        <v>31</v>
      </c>
      <c r="F84">
        <v>4</v>
      </c>
      <c r="G84">
        <v>1.5</v>
      </c>
      <c r="H84">
        <v>80</v>
      </c>
      <c r="I84">
        <v>5</v>
      </c>
      <c r="J84" t="s">
        <v>19</v>
      </c>
      <c r="K84" t="s">
        <v>20</v>
      </c>
      <c r="L84" t="s">
        <v>21</v>
      </c>
      <c r="M84" t="s">
        <v>22</v>
      </c>
      <c r="N84" t="s">
        <v>23</v>
      </c>
      <c r="O84" t="s">
        <v>24</v>
      </c>
      <c r="P84" t="s">
        <v>25</v>
      </c>
      <c r="Q84" t="s">
        <v>26</v>
      </c>
      <c r="R84" t="s">
        <v>27</v>
      </c>
    </row>
    <row r="85" spans="1:18" x14ac:dyDescent="0.2">
      <c r="A85">
        <v>29</v>
      </c>
      <c r="B85">
        <v>45284</v>
      </c>
      <c r="C85">
        <v>1263</v>
      </c>
      <c r="D85">
        <v>5</v>
      </c>
      <c r="E85" t="s">
        <v>29</v>
      </c>
      <c r="F85">
        <v>3</v>
      </c>
      <c r="G85">
        <v>1.25</v>
      </c>
      <c r="H85">
        <v>94</v>
      </c>
      <c r="I85">
        <v>5</v>
      </c>
      <c r="J85" t="s">
        <v>19</v>
      </c>
      <c r="K85" t="s">
        <v>20</v>
      </c>
      <c r="L85" t="s">
        <v>21</v>
      </c>
      <c r="M85" t="s">
        <v>22</v>
      </c>
      <c r="N85" t="s">
        <v>23</v>
      </c>
      <c r="O85" t="s">
        <v>24</v>
      </c>
      <c r="P85" t="s">
        <v>25</v>
      </c>
      <c r="Q85" t="s">
        <v>26</v>
      </c>
      <c r="R85" t="s">
        <v>27</v>
      </c>
    </row>
    <row r="86" spans="1:18" x14ac:dyDescent="0.2">
      <c r="A86">
        <v>29</v>
      </c>
      <c r="B86">
        <v>45285</v>
      </c>
      <c r="C86">
        <v>1263</v>
      </c>
      <c r="D86">
        <v>3</v>
      </c>
      <c r="E86" t="s">
        <v>30</v>
      </c>
      <c r="F86">
        <v>5</v>
      </c>
      <c r="G86">
        <v>2.2000000000000002</v>
      </c>
      <c r="H86">
        <v>96</v>
      </c>
      <c r="I86">
        <v>5</v>
      </c>
      <c r="J86" t="s">
        <v>19</v>
      </c>
      <c r="K86" t="s">
        <v>20</v>
      </c>
      <c r="L86" t="s">
        <v>21</v>
      </c>
      <c r="M86" t="s">
        <v>22</v>
      </c>
      <c r="N86" t="s">
        <v>23</v>
      </c>
      <c r="O86" t="s">
        <v>24</v>
      </c>
      <c r="P86" t="s">
        <v>25</v>
      </c>
      <c r="Q86" t="s">
        <v>26</v>
      </c>
      <c r="R86" t="s">
        <v>27</v>
      </c>
    </row>
    <row r="87" spans="1:18" x14ac:dyDescent="0.2">
      <c r="A87">
        <v>29</v>
      </c>
      <c r="B87">
        <v>45286</v>
      </c>
      <c r="C87">
        <v>1263</v>
      </c>
      <c r="D87">
        <v>6</v>
      </c>
      <c r="E87" t="s">
        <v>32</v>
      </c>
      <c r="F87">
        <v>6</v>
      </c>
      <c r="G87">
        <v>2.75</v>
      </c>
      <c r="H87">
        <v>17</v>
      </c>
      <c r="I87">
        <v>5</v>
      </c>
      <c r="J87" t="s">
        <v>19</v>
      </c>
      <c r="K87" t="s">
        <v>20</v>
      </c>
      <c r="L87" t="s">
        <v>21</v>
      </c>
      <c r="M87" t="s">
        <v>22</v>
      </c>
      <c r="N87" t="s">
        <v>23</v>
      </c>
      <c r="O87" t="s">
        <v>24</v>
      </c>
      <c r="P87" t="s">
        <v>25</v>
      </c>
      <c r="Q87" t="s">
        <v>26</v>
      </c>
      <c r="R87" t="s">
        <v>27</v>
      </c>
    </row>
    <row r="88" spans="1:18" x14ac:dyDescent="0.2">
      <c r="A88">
        <v>29</v>
      </c>
      <c r="B88">
        <v>45287</v>
      </c>
      <c r="C88">
        <v>1263</v>
      </c>
      <c r="D88">
        <v>2</v>
      </c>
      <c r="E88" t="s">
        <v>28</v>
      </c>
      <c r="F88">
        <v>1</v>
      </c>
      <c r="G88">
        <v>0.5</v>
      </c>
      <c r="H88">
        <v>79</v>
      </c>
      <c r="I88">
        <v>5</v>
      </c>
      <c r="J88" t="s">
        <v>19</v>
      </c>
      <c r="K88" t="s">
        <v>20</v>
      </c>
      <c r="L88" t="s">
        <v>21</v>
      </c>
      <c r="M88" t="s">
        <v>22</v>
      </c>
      <c r="N88" t="s">
        <v>23</v>
      </c>
      <c r="O88" t="s">
        <v>24</v>
      </c>
      <c r="P88" t="s">
        <v>25</v>
      </c>
      <c r="Q88" t="s">
        <v>26</v>
      </c>
      <c r="R88" t="s">
        <v>27</v>
      </c>
    </row>
    <row r="89" spans="1:18" x14ac:dyDescent="0.2">
      <c r="A89">
        <v>30</v>
      </c>
      <c r="B89">
        <v>45288</v>
      </c>
      <c r="C89">
        <v>2117</v>
      </c>
      <c r="D89">
        <v>5</v>
      </c>
      <c r="E89" t="s">
        <v>29</v>
      </c>
      <c r="F89">
        <v>3</v>
      </c>
      <c r="G89">
        <v>1.25</v>
      </c>
      <c r="H89">
        <v>152</v>
      </c>
      <c r="I89">
        <v>1</v>
      </c>
      <c r="J89" t="s">
        <v>41</v>
      </c>
      <c r="K89" t="s">
        <v>42</v>
      </c>
      <c r="L89" t="s">
        <v>43</v>
      </c>
      <c r="M89" t="s">
        <v>44</v>
      </c>
      <c r="N89" t="s">
        <v>45</v>
      </c>
      <c r="O89" t="s">
        <v>46</v>
      </c>
      <c r="P89" t="s">
        <v>47</v>
      </c>
      <c r="Q89" t="s">
        <v>26</v>
      </c>
      <c r="R89" t="s">
        <v>48</v>
      </c>
    </row>
    <row r="90" spans="1:18" x14ac:dyDescent="0.2">
      <c r="A90">
        <v>30</v>
      </c>
      <c r="B90">
        <v>45289</v>
      </c>
      <c r="C90">
        <v>2117</v>
      </c>
      <c r="D90">
        <v>1</v>
      </c>
      <c r="E90" t="s">
        <v>18</v>
      </c>
      <c r="F90">
        <v>5</v>
      </c>
      <c r="G90">
        <v>2</v>
      </c>
      <c r="H90">
        <v>169</v>
      </c>
      <c r="I90">
        <v>1</v>
      </c>
      <c r="J90" t="s">
        <v>41</v>
      </c>
      <c r="K90" t="s">
        <v>42</v>
      </c>
      <c r="L90" t="s">
        <v>43</v>
      </c>
      <c r="M90" t="s">
        <v>44</v>
      </c>
      <c r="N90" t="s">
        <v>45</v>
      </c>
      <c r="O90" t="s">
        <v>46</v>
      </c>
      <c r="P90" t="s">
        <v>47</v>
      </c>
      <c r="Q90" t="s">
        <v>26</v>
      </c>
      <c r="R90" t="s">
        <v>48</v>
      </c>
    </row>
    <row r="91" spans="1:18" x14ac:dyDescent="0.2">
      <c r="A91">
        <v>30</v>
      </c>
      <c r="B91">
        <v>45290</v>
      </c>
      <c r="C91">
        <v>2117</v>
      </c>
      <c r="D91">
        <v>4</v>
      </c>
      <c r="E91" t="s">
        <v>31</v>
      </c>
      <c r="F91">
        <v>4</v>
      </c>
      <c r="G91">
        <v>1.5</v>
      </c>
      <c r="H91">
        <v>204</v>
      </c>
      <c r="I91">
        <v>1</v>
      </c>
      <c r="J91" t="s">
        <v>41</v>
      </c>
      <c r="K91" t="s">
        <v>42</v>
      </c>
      <c r="L91" t="s">
        <v>43</v>
      </c>
      <c r="M91" t="s">
        <v>44</v>
      </c>
      <c r="N91" t="s">
        <v>45</v>
      </c>
      <c r="O91" t="s">
        <v>46</v>
      </c>
      <c r="P91" t="s">
        <v>47</v>
      </c>
      <c r="Q91" t="s">
        <v>26</v>
      </c>
      <c r="R91" t="s">
        <v>48</v>
      </c>
    </row>
    <row r="92" spans="1:18" x14ac:dyDescent="0.2">
      <c r="A92">
        <v>31</v>
      </c>
      <c r="B92">
        <v>45291</v>
      </c>
      <c r="C92">
        <v>1900</v>
      </c>
      <c r="D92">
        <v>1</v>
      </c>
      <c r="E92" t="s">
        <v>18</v>
      </c>
      <c r="F92">
        <v>5</v>
      </c>
      <c r="G92">
        <v>2</v>
      </c>
      <c r="H92">
        <v>151</v>
      </c>
      <c r="I92">
        <v>2</v>
      </c>
      <c r="J92" t="s">
        <v>33</v>
      </c>
      <c r="K92" t="s">
        <v>34</v>
      </c>
      <c r="L92" t="s">
        <v>35</v>
      </c>
      <c r="M92" t="s">
        <v>36</v>
      </c>
      <c r="N92" t="s">
        <v>37</v>
      </c>
      <c r="O92" t="s">
        <v>38</v>
      </c>
      <c r="P92" t="s">
        <v>39</v>
      </c>
      <c r="Q92" t="s">
        <v>26</v>
      </c>
      <c r="R92" t="s">
        <v>40</v>
      </c>
    </row>
    <row r="93" spans="1:18" x14ac:dyDescent="0.2">
      <c r="A93">
        <v>31</v>
      </c>
      <c r="B93">
        <v>45292</v>
      </c>
      <c r="C93">
        <v>1900</v>
      </c>
      <c r="E93" t="s">
        <v>30</v>
      </c>
      <c r="F93">
        <v>5</v>
      </c>
      <c r="G93">
        <v>2.2000000000000002</v>
      </c>
      <c r="H93">
        <v>229</v>
      </c>
      <c r="I93">
        <v>2</v>
      </c>
      <c r="J93" t="s">
        <v>33</v>
      </c>
      <c r="K93" t="s">
        <v>34</v>
      </c>
      <c r="L93" t="s">
        <v>35</v>
      </c>
      <c r="M93" t="s">
        <v>36</v>
      </c>
      <c r="N93" t="s">
        <v>37</v>
      </c>
      <c r="O93" t="s">
        <v>38</v>
      </c>
      <c r="P93" t="s">
        <v>39</v>
      </c>
      <c r="Q93" t="s">
        <v>26</v>
      </c>
      <c r="R93" t="s">
        <v>40</v>
      </c>
    </row>
    <row r="94" spans="1:18" x14ac:dyDescent="0.2">
      <c r="A94">
        <v>32</v>
      </c>
      <c r="B94">
        <v>45293</v>
      </c>
      <c r="C94">
        <v>2847</v>
      </c>
      <c r="D94">
        <v>3</v>
      </c>
      <c r="E94" t="s">
        <v>30</v>
      </c>
      <c r="F94">
        <v>5</v>
      </c>
      <c r="G94">
        <v>2.2000000000000002</v>
      </c>
      <c r="H94">
        <v>128</v>
      </c>
      <c r="I94">
        <v>5</v>
      </c>
      <c r="J94" t="s">
        <v>19</v>
      </c>
      <c r="K94" t="s">
        <v>20</v>
      </c>
      <c r="L94" t="s">
        <v>21</v>
      </c>
      <c r="M94" t="s">
        <v>22</v>
      </c>
      <c r="N94" t="s">
        <v>23</v>
      </c>
      <c r="O94" t="s">
        <v>24</v>
      </c>
      <c r="P94" t="s">
        <v>25</v>
      </c>
      <c r="Q94" t="s">
        <v>26</v>
      </c>
      <c r="R94" t="s">
        <v>27</v>
      </c>
    </row>
    <row r="95" spans="1:18" x14ac:dyDescent="0.2">
      <c r="A95">
        <v>32</v>
      </c>
      <c r="B95">
        <v>45294</v>
      </c>
      <c r="C95">
        <v>2847</v>
      </c>
      <c r="D95">
        <v>1</v>
      </c>
      <c r="E95" t="s">
        <v>18</v>
      </c>
      <c r="F95">
        <v>5</v>
      </c>
      <c r="G95">
        <v>2</v>
      </c>
      <c r="H95">
        <v>93</v>
      </c>
      <c r="I95">
        <v>5</v>
      </c>
      <c r="J95" t="s">
        <v>19</v>
      </c>
      <c r="K95" t="s">
        <v>20</v>
      </c>
      <c r="L95" t="s">
        <v>21</v>
      </c>
      <c r="M95" t="s">
        <v>22</v>
      </c>
      <c r="N95" t="s">
        <v>23</v>
      </c>
      <c r="O95" t="s">
        <v>24</v>
      </c>
      <c r="P95" t="s">
        <v>25</v>
      </c>
      <c r="Q95" t="s">
        <v>26</v>
      </c>
      <c r="R95" t="s">
        <v>27</v>
      </c>
    </row>
    <row r="96" spans="1:18" x14ac:dyDescent="0.2">
      <c r="A96">
        <v>32</v>
      </c>
      <c r="B96">
        <v>45295</v>
      </c>
      <c r="C96">
        <v>2847</v>
      </c>
      <c r="D96">
        <v>4</v>
      </c>
      <c r="E96" t="s">
        <v>31</v>
      </c>
      <c r="F96">
        <v>4</v>
      </c>
      <c r="G96">
        <v>1.5</v>
      </c>
      <c r="H96">
        <v>122</v>
      </c>
      <c r="I96">
        <v>5</v>
      </c>
      <c r="J96" t="s">
        <v>19</v>
      </c>
      <c r="K96" t="s">
        <v>20</v>
      </c>
      <c r="L96" t="s">
        <v>21</v>
      </c>
      <c r="M96" t="s">
        <v>22</v>
      </c>
      <c r="N96" t="s">
        <v>23</v>
      </c>
      <c r="O96" t="s">
        <v>24</v>
      </c>
      <c r="P96" t="s">
        <v>25</v>
      </c>
      <c r="Q96" t="s">
        <v>26</v>
      </c>
      <c r="R96" t="s">
        <v>27</v>
      </c>
    </row>
    <row r="97" spans="1:18" x14ac:dyDescent="0.2">
      <c r="A97">
        <v>32</v>
      </c>
      <c r="B97">
        <v>45296</v>
      </c>
      <c r="C97">
        <v>2847</v>
      </c>
      <c r="D97">
        <v>6</v>
      </c>
      <c r="E97" t="s">
        <v>32</v>
      </c>
      <c r="F97">
        <v>6</v>
      </c>
      <c r="G97">
        <v>2.75</v>
      </c>
      <c r="H97">
        <v>209</v>
      </c>
      <c r="I97">
        <v>5</v>
      </c>
      <c r="J97" t="s">
        <v>19</v>
      </c>
      <c r="K97" t="s">
        <v>20</v>
      </c>
      <c r="L97" t="s">
        <v>21</v>
      </c>
      <c r="M97" t="s">
        <v>22</v>
      </c>
      <c r="N97" t="s">
        <v>23</v>
      </c>
      <c r="O97" t="s">
        <v>24</v>
      </c>
      <c r="P97" t="s">
        <v>25</v>
      </c>
      <c r="Q97" t="s">
        <v>26</v>
      </c>
      <c r="R97" t="s">
        <v>27</v>
      </c>
    </row>
    <row r="98" spans="1:18" x14ac:dyDescent="0.2">
      <c r="A98">
        <v>33</v>
      </c>
      <c r="B98">
        <v>45297</v>
      </c>
      <c r="C98">
        <v>2159</v>
      </c>
      <c r="D98">
        <v>5</v>
      </c>
      <c r="E98" t="s">
        <v>29</v>
      </c>
      <c r="F98">
        <v>3</v>
      </c>
      <c r="G98">
        <v>1.25</v>
      </c>
      <c r="H98">
        <v>202</v>
      </c>
      <c r="I98">
        <v>3</v>
      </c>
      <c r="J98" t="s">
        <v>57</v>
      </c>
      <c r="K98" t="s">
        <v>58</v>
      </c>
      <c r="L98" t="s">
        <v>59</v>
      </c>
      <c r="M98" t="s">
        <v>60</v>
      </c>
      <c r="N98" t="s">
        <v>61</v>
      </c>
      <c r="O98" t="s">
        <v>62</v>
      </c>
      <c r="P98" t="s">
        <v>64</v>
      </c>
      <c r="Q98" t="s">
        <v>26</v>
      </c>
      <c r="R98" t="s">
        <v>63</v>
      </c>
    </row>
    <row r="99" spans="1:18" x14ac:dyDescent="0.2">
      <c r="A99">
        <v>33</v>
      </c>
      <c r="B99">
        <v>45298</v>
      </c>
      <c r="C99">
        <v>2159</v>
      </c>
      <c r="D99">
        <v>3</v>
      </c>
      <c r="E99" t="s">
        <v>30</v>
      </c>
      <c r="F99">
        <v>5</v>
      </c>
      <c r="G99">
        <v>2.2000000000000002</v>
      </c>
      <c r="H99">
        <v>103</v>
      </c>
      <c r="I99">
        <v>3</v>
      </c>
      <c r="J99" t="s">
        <v>57</v>
      </c>
      <c r="K99" t="s">
        <v>58</v>
      </c>
      <c r="L99" t="s">
        <v>59</v>
      </c>
      <c r="M99" t="s">
        <v>60</v>
      </c>
      <c r="N99" t="s">
        <v>61</v>
      </c>
      <c r="O99" t="s">
        <v>62</v>
      </c>
      <c r="P99" t="s">
        <v>64</v>
      </c>
      <c r="Q99" t="s">
        <v>26</v>
      </c>
      <c r="R99" t="s">
        <v>63</v>
      </c>
    </row>
    <row r="100" spans="1:18" x14ac:dyDescent="0.2">
      <c r="A100">
        <v>33</v>
      </c>
      <c r="B100">
        <v>45299</v>
      </c>
      <c r="C100">
        <v>2159</v>
      </c>
      <c r="D100">
        <v>6</v>
      </c>
      <c r="E100" t="s">
        <v>32</v>
      </c>
      <c r="F100">
        <v>6</v>
      </c>
      <c r="G100">
        <v>2.75</v>
      </c>
      <c r="H100">
        <v>173</v>
      </c>
      <c r="I100">
        <v>3</v>
      </c>
      <c r="J100" t="s">
        <v>57</v>
      </c>
      <c r="K100" t="s">
        <v>58</v>
      </c>
      <c r="L100" t="s">
        <v>59</v>
      </c>
      <c r="M100" t="s">
        <v>60</v>
      </c>
      <c r="N100" t="s">
        <v>61</v>
      </c>
      <c r="O100" t="s">
        <v>62</v>
      </c>
      <c r="P100" t="s">
        <v>64</v>
      </c>
      <c r="Q100" t="s">
        <v>26</v>
      </c>
      <c r="R100" t="s">
        <v>63</v>
      </c>
    </row>
    <row r="101" spans="1:18" x14ac:dyDescent="0.2">
      <c r="A101">
        <v>34</v>
      </c>
      <c r="B101">
        <v>45300</v>
      </c>
      <c r="C101">
        <v>1196</v>
      </c>
      <c r="D101">
        <v>2</v>
      </c>
      <c r="E101" t="s">
        <v>28</v>
      </c>
      <c r="F101">
        <v>1</v>
      </c>
      <c r="G101">
        <v>0.5</v>
      </c>
      <c r="H101">
        <v>196</v>
      </c>
      <c r="I101">
        <v>2</v>
      </c>
      <c r="J101" t="s">
        <v>33</v>
      </c>
      <c r="K101" t="s">
        <v>34</v>
      </c>
      <c r="L101" t="s">
        <v>35</v>
      </c>
      <c r="M101" t="s">
        <v>36</v>
      </c>
      <c r="N101" t="s">
        <v>37</v>
      </c>
      <c r="O101" t="s">
        <v>38</v>
      </c>
      <c r="P101" t="s">
        <v>39</v>
      </c>
      <c r="Q101" t="s">
        <v>26</v>
      </c>
      <c r="R101" t="s">
        <v>40</v>
      </c>
    </row>
    <row r="102" spans="1:18" x14ac:dyDescent="0.2">
      <c r="A102">
        <v>34</v>
      </c>
      <c r="B102">
        <v>45301</v>
      </c>
      <c r="C102">
        <v>1196</v>
      </c>
      <c r="D102">
        <v>1</v>
      </c>
      <c r="E102" t="s">
        <v>18</v>
      </c>
      <c r="F102">
        <v>5</v>
      </c>
      <c r="G102">
        <v>2</v>
      </c>
      <c r="H102">
        <v>200</v>
      </c>
      <c r="I102">
        <v>2</v>
      </c>
      <c r="J102" t="s">
        <v>33</v>
      </c>
      <c r="K102" t="s">
        <v>34</v>
      </c>
      <c r="L102" t="s">
        <v>35</v>
      </c>
      <c r="M102" t="s">
        <v>36</v>
      </c>
      <c r="N102" t="s">
        <v>37</v>
      </c>
      <c r="O102" t="s">
        <v>38</v>
      </c>
      <c r="P102" t="s">
        <v>39</v>
      </c>
      <c r="Q102" t="s">
        <v>26</v>
      </c>
      <c r="R102" t="s">
        <v>40</v>
      </c>
    </row>
    <row r="103" spans="1:18" x14ac:dyDescent="0.2">
      <c r="A103">
        <v>35</v>
      </c>
      <c r="B103">
        <v>45302</v>
      </c>
      <c r="C103">
        <v>1165</v>
      </c>
      <c r="D103">
        <v>5</v>
      </c>
      <c r="E103" t="s">
        <v>29</v>
      </c>
      <c r="F103">
        <v>3</v>
      </c>
      <c r="G103">
        <v>1.25</v>
      </c>
      <c r="H103">
        <v>113</v>
      </c>
      <c r="I103">
        <v>5</v>
      </c>
      <c r="J103" t="s">
        <v>19</v>
      </c>
      <c r="K103" t="s">
        <v>20</v>
      </c>
      <c r="L103" t="s">
        <v>21</v>
      </c>
      <c r="M103" t="s">
        <v>22</v>
      </c>
      <c r="N103" t="s">
        <v>23</v>
      </c>
      <c r="O103" t="s">
        <v>24</v>
      </c>
      <c r="P103" t="s">
        <v>25</v>
      </c>
      <c r="Q103" t="s">
        <v>26</v>
      </c>
      <c r="R103" t="s">
        <v>27</v>
      </c>
    </row>
    <row r="104" spans="1:18" x14ac:dyDescent="0.2">
      <c r="A104">
        <v>35</v>
      </c>
      <c r="B104">
        <v>45303</v>
      </c>
      <c r="C104">
        <v>1165</v>
      </c>
      <c r="D104">
        <v>3</v>
      </c>
      <c r="E104" t="s">
        <v>30</v>
      </c>
      <c r="F104">
        <v>5</v>
      </c>
      <c r="G104">
        <v>2.2000000000000002</v>
      </c>
      <c r="H104">
        <v>34</v>
      </c>
      <c r="I104">
        <v>5</v>
      </c>
      <c r="J104" t="s">
        <v>19</v>
      </c>
      <c r="K104" t="s">
        <v>20</v>
      </c>
      <c r="L104" t="s">
        <v>21</v>
      </c>
      <c r="M104" t="s">
        <v>22</v>
      </c>
      <c r="N104" t="s">
        <v>23</v>
      </c>
      <c r="O104" t="s">
        <v>24</v>
      </c>
      <c r="P104" t="s">
        <v>25</v>
      </c>
      <c r="Q104" t="s">
        <v>26</v>
      </c>
      <c r="R104" t="s">
        <v>27</v>
      </c>
    </row>
    <row r="105" spans="1:18" x14ac:dyDescent="0.2">
      <c r="A105">
        <v>35</v>
      </c>
      <c r="B105">
        <v>45304</v>
      </c>
      <c r="C105">
        <v>1165</v>
      </c>
      <c r="D105">
        <v>4</v>
      </c>
      <c r="E105" t="s">
        <v>31</v>
      </c>
      <c r="F105">
        <v>4</v>
      </c>
      <c r="G105">
        <v>1.5</v>
      </c>
      <c r="H105">
        <v>164</v>
      </c>
      <c r="I105">
        <v>5</v>
      </c>
      <c r="J105" t="s">
        <v>19</v>
      </c>
      <c r="K105" t="s">
        <v>20</v>
      </c>
      <c r="L105" t="s">
        <v>21</v>
      </c>
      <c r="M105" t="s">
        <v>22</v>
      </c>
      <c r="N105" t="s">
        <v>23</v>
      </c>
      <c r="O105" t="s">
        <v>24</v>
      </c>
      <c r="P105" t="s">
        <v>25</v>
      </c>
      <c r="Q105" t="s">
        <v>26</v>
      </c>
      <c r="R105" t="s">
        <v>27</v>
      </c>
    </row>
    <row r="106" spans="1:18" x14ac:dyDescent="0.2">
      <c r="A106">
        <v>36</v>
      </c>
      <c r="B106">
        <v>45305</v>
      </c>
      <c r="C106">
        <v>1391</v>
      </c>
      <c r="D106">
        <v>1</v>
      </c>
      <c r="E106" t="s">
        <v>18</v>
      </c>
      <c r="F106">
        <v>5</v>
      </c>
      <c r="G106">
        <v>2</v>
      </c>
      <c r="H106">
        <v>116</v>
      </c>
      <c r="I106">
        <v>4</v>
      </c>
      <c r="J106" t="s">
        <v>49</v>
      </c>
      <c r="K106" t="s">
        <v>50</v>
      </c>
      <c r="L106" t="s">
        <v>51</v>
      </c>
      <c r="M106" t="s">
        <v>52</v>
      </c>
      <c r="N106" t="s">
        <v>53</v>
      </c>
      <c r="O106" t="s">
        <v>54</v>
      </c>
      <c r="P106" t="s">
        <v>55</v>
      </c>
      <c r="Q106" t="s">
        <v>26</v>
      </c>
      <c r="R106" t="s">
        <v>56</v>
      </c>
    </row>
    <row r="107" spans="1:18" x14ac:dyDescent="0.2">
      <c r="A107">
        <v>36</v>
      </c>
      <c r="B107">
        <v>45306</v>
      </c>
      <c r="C107">
        <v>1391</v>
      </c>
      <c r="D107">
        <v>4</v>
      </c>
      <c r="E107" t="s">
        <v>31</v>
      </c>
      <c r="F107">
        <v>4</v>
      </c>
      <c r="G107">
        <v>1.5</v>
      </c>
      <c r="H107">
        <v>127</v>
      </c>
      <c r="I107">
        <v>4</v>
      </c>
      <c r="J107" t="s">
        <v>49</v>
      </c>
      <c r="K107" t="s">
        <v>50</v>
      </c>
      <c r="L107" t="s">
        <v>51</v>
      </c>
      <c r="M107" t="s">
        <v>52</v>
      </c>
      <c r="N107" t="s">
        <v>53</v>
      </c>
      <c r="O107" t="s">
        <v>54</v>
      </c>
      <c r="P107" t="s">
        <v>55</v>
      </c>
      <c r="Q107" t="s">
        <v>26</v>
      </c>
      <c r="R107" t="s">
        <v>56</v>
      </c>
    </row>
    <row r="108" spans="1:18" x14ac:dyDescent="0.2">
      <c r="A108">
        <v>36</v>
      </c>
      <c r="B108">
        <v>45307</v>
      </c>
      <c r="C108">
        <v>1391</v>
      </c>
      <c r="D108">
        <v>5</v>
      </c>
      <c r="E108" t="s">
        <v>29</v>
      </c>
      <c r="F108">
        <v>3</v>
      </c>
      <c r="G108">
        <v>1.25</v>
      </c>
      <c r="H108">
        <v>101</v>
      </c>
      <c r="I108">
        <v>4</v>
      </c>
      <c r="J108" t="s">
        <v>49</v>
      </c>
      <c r="K108" t="s">
        <v>50</v>
      </c>
      <c r="L108" t="s">
        <v>51</v>
      </c>
      <c r="M108" t="s">
        <v>52</v>
      </c>
      <c r="N108" t="s">
        <v>53</v>
      </c>
      <c r="O108" t="s">
        <v>54</v>
      </c>
      <c r="P108" t="s">
        <v>55</v>
      </c>
      <c r="Q108" t="s">
        <v>26</v>
      </c>
      <c r="R108" t="s">
        <v>56</v>
      </c>
    </row>
    <row r="109" spans="1:18" x14ac:dyDescent="0.2">
      <c r="A109">
        <v>37</v>
      </c>
      <c r="B109">
        <v>45308</v>
      </c>
      <c r="C109">
        <v>1415</v>
      </c>
      <c r="D109">
        <v>1</v>
      </c>
      <c r="E109" t="s">
        <v>18</v>
      </c>
      <c r="F109">
        <v>5</v>
      </c>
      <c r="G109">
        <v>2</v>
      </c>
      <c r="H109">
        <v>136</v>
      </c>
      <c r="J109" t="s">
        <v>33</v>
      </c>
      <c r="K109" t="s">
        <v>34</v>
      </c>
      <c r="L109" t="s">
        <v>35</v>
      </c>
      <c r="M109" t="s">
        <v>36</v>
      </c>
      <c r="N109" t="s">
        <v>37</v>
      </c>
      <c r="O109" t="s">
        <v>38</v>
      </c>
      <c r="P109" t="s">
        <v>39</v>
      </c>
      <c r="Q109" t="s">
        <v>26</v>
      </c>
      <c r="R109" t="s">
        <v>40</v>
      </c>
    </row>
    <row r="110" spans="1:18" x14ac:dyDescent="0.2">
      <c r="A110">
        <v>37</v>
      </c>
      <c r="B110">
        <v>45309</v>
      </c>
      <c r="C110">
        <v>1415</v>
      </c>
      <c r="D110">
        <v>5</v>
      </c>
      <c r="E110" t="s">
        <v>29</v>
      </c>
      <c r="F110">
        <v>3</v>
      </c>
      <c r="G110">
        <v>1.25</v>
      </c>
      <c r="H110">
        <v>245</v>
      </c>
      <c r="I110">
        <v>2</v>
      </c>
      <c r="J110" t="s">
        <v>33</v>
      </c>
      <c r="K110" t="s">
        <v>34</v>
      </c>
      <c r="L110" t="s">
        <v>35</v>
      </c>
      <c r="M110" t="s">
        <v>36</v>
      </c>
      <c r="N110" t="s">
        <v>37</v>
      </c>
      <c r="O110" t="s">
        <v>38</v>
      </c>
      <c r="P110" t="s">
        <v>39</v>
      </c>
      <c r="Q110" t="s">
        <v>26</v>
      </c>
      <c r="R110" t="s">
        <v>40</v>
      </c>
    </row>
    <row r="111" spans="1:18" x14ac:dyDescent="0.2">
      <c r="A111">
        <v>38</v>
      </c>
      <c r="B111">
        <v>45310</v>
      </c>
      <c r="C111">
        <v>685</v>
      </c>
      <c r="D111">
        <v>1</v>
      </c>
      <c r="E111" t="s">
        <v>18</v>
      </c>
      <c r="F111">
        <v>5</v>
      </c>
      <c r="G111">
        <v>2</v>
      </c>
      <c r="H111">
        <v>137</v>
      </c>
      <c r="I111">
        <v>1</v>
      </c>
      <c r="J111" t="s">
        <v>41</v>
      </c>
      <c r="K111" t="s">
        <v>42</v>
      </c>
      <c r="L111" t="s">
        <v>43</v>
      </c>
      <c r="M111" t="s">
        <v>44</v>
      </c>
      <c r="N111" t="s">
        <v>45</v>
      </c>
      <c r="O111" t="s">
        <v>46</v>
      </c>
      <c r="P111" t="s">
        <v>47</v>
      </c>
      <c r="Q111" t="s">
        <v>26</v>
      </c>
      <c r="R111" t="s">
        <v>48</v>
      </c>
    </row>
    <row r="112" spans="1:18" x14ac:dyDescent="0.2">
      <c r="A112">
        <v>39</v>
      </c>
      <c r="B112">
        <v>45311</v>
      </c>
      <c r="C112">
        <v>1094</v>
      </c>
      <c r="D112">
        <v>4</v>
      </c>
      <c r="E112" t="s">
        <v>31</v>
      </c>
      <c r="F112">
        <v>4</v>
      </c>
      <c r="G112">
        <v>1.5</v>
      </c>
      <c r="H112">
        <v>14</v>
      </c>
      <c r="I112">
        <v>5</v>
      </c>
      <c r="J112" t="s">
        <v>19</v>
      </c>
      <c r="K112" t="s">
        <v>20</v>
      </c>
      <c r="L112" t="s">
        <v>21</v>
      </c>
      <c r="M112" t="s">
        <v>22</v>
      </c>
      <c r="N112" t="s">
        <v>23</v>
      </c>
      <c r="O112" t="s">
        <v>24</v>
      </c>
      <c r="P112" t="s">
        <v>25</v>
      </c>
      <c r="Q112" t="s">
        <v>26</v>
      </c>
      <c r="R112" t="s">
        <v>27</v>
      </c>
    </row>
    <row r="113" spans="1:18" x14ac:dyDescent="0.2">
      <c r="A113">
        <v>39</v>
      </c>
      <c r="B113">
        <v>45312</v>
      </c>
      <c r="C113">
        <v>1094</v>
      </c>
      <c r="D113">
        <v>6</v>
      </c>
      <c r="E113" t="s">
        <v>32</v>
      </c>
      <c r="F113">
        <v>6</v>
      </c>
      <c r="G113">
        <v>2.75</v>
      </c>
      <c r="H113">
        <v>173</v>
      </c>
      <c r="I113">
        <v>5</v>
      </c>
      <c r="J113" t="s">
        <v>19</v>
      </c>
      <c r="K113" t="s">
        <v>20</v>
      </c>
      <c r="L113" t="s">
        <v>21</v>
      </c>
      <c r="M113" t="s">
        <v>22</v>
      </c>
      <c r="N113" t="s">
        <v>23</v>
      </c>
      <c r="O113" t="s">
        <v>24</v>
      </c>
      <c r="P113" t="s">
        <v>25</v>
      </c>
      <c r="Q113" t="s">
        <v>26</v>
      </c>
      <c r="R113" t="s">
        <v>27</v>
      </c>
    </row>
    <row r="114" spans="1:18" x14ac:dyDescent="0.2">
      <c r="A114">
        <v>40</v>
      </c>
      <c r="B114">
        <v>45313</v>
      </c>
      <c r="C114">
        <v>487</v>
      </c>
      <c r="E114" t="s">
        <v>31</v>
      </c>
      <c r="F114">
        <v>4</v>
      </c>
      <c r="G114">
        <v>1.5</v>
      </c>
      <c r="H114">
        <v>13</v>
      </c>
      <c r="I114">
        <v>1</v>
      </c>
      <c r="J114" t="s">
        <v>41</v>
      </c>
      <c r="K114" t="s">
        <v>42</v>
      </c>
      <c r="L114" t="s">
        <v>43</v>
      </c>
      <c r="M114" t="s">
        <v>44</v>
      </c>
      <c r="N114" t="s">
        <v>45</v>
      </c>
      <c r="O114" t="s">
        <v>46</v>
      </c>
      <c r="P114" t="s">
        <v>47</v>
      </c>
      <c r="Q114" t="s">
        <v>26</v>
      </c>
      <c r="R114" t="s">
        <v>48</v>
      </c>
    </row>
    <row r="115" spans="1:18" x14ac:dyDescent="0.2">
      <c r="A115">
        <v>40</v>
      </c>
      <c r="B115">
        <v>45314</v>
      </c>
      <c r="C115">
        <v>487</v>
      </c>
      <c r="D115">
        <v>3</v>
      </c>
      <c r="E115" t="s">
        <v>30</v>
      </c>
      <c r="F115">
        <v>5</v>
      </c>
      <c r="G115">
        <v>2.2000000000000002</v>
      </c>
      <c r="H115">
        <v>87</v>
      </c>
      <c r="I115">
        <v>1</v>
      </c>
      <c r="J115" t="s">
        <v>41</v>
      </c>
      <c r="K115" t="s">
        <v>42</v>
      </c>
      <c r="L115" t="s">
        <v>43</v>
      </c>
      <c r="M115" t="s">
        <v>44</v>
      </c>
      <c r="N115" t="s">
        <v>45</v>
      </c>
      <c r="O115" t="s">
        <v>46</v>
      </c>
      <c r="P115" t="s">
        <v>47</v>
      </c>
      <c r="Q115" t="s">
        <v>26</v>
      </c>
      <c r="R115" t="s">
        <v>48</v>
      </c>
    </row>
    <row r="116" spans="1:18" x14ac:dyDescent="0.2">
      <c r="A116">
        <v>41</v>
      </c>
      <c r="B116">
        <v>45315</v>
      </c>
      <c r="C116">
        <v>240</v>
      </c>
      <c r="D116">
        <v>1</v>
      </c>
      <c r="E116" t="s">
        <v>18</v>
      </c>
      <c r="F116">
        <v>5</v>
      </c>
      <c r="G116">
        <v>2</v>
      </c>
      <c r="H116">
        <v>48</v>
      </c>
      <c r="I116">
        <v>5</v>
      </c>
      <c r="J116" t="s">
        <v>19</v>
      </c>
      <c r="K116" t="s">
        <v>20</v>
      </c>
      <c r="L116" t="s">
        <v>21</v>
      </c>
      <c r="M116" t="s">
        <v>22</v>
      </c>
      <c r="N116" t="s">
        <v>23</v>
      </c>
      <c r="O116" t="s">
        <v>24</v>
      </c>
      <c r="P116" t="s">
        <v>25</v>
      </c>
      <c r="Q116" t="s">
        <v>26</v>
      </c>
      <c r="R116" t="s">
        <v>27</v>
      </c>
    </row>
    <row r="117" spans="1:18" x14ac:dyDescent="0.2">
      <c r="A117">
        <v>42</v>
      </c>
      <c r="B117">
        <v>45316</v>
      </c>
      <c r="C117">
        <v>1351</v>
      </c>
      <c r="D117">
        <v>2</v>
      </c>
      <c r="E117" t="s">
        <v>28</v>
      </c>
      <c r="F117">
        <v>1</v>
      </c>
      <c r="G117">
        <v>0.5</v>
      </c>
      <c r="H117">
        <v>123</v>
      </c>
      <c r="I117">
        <v>1</v>
      </c>
      <c r="J117" t="s">
        <v>41</v>
      </c>
      <c r="K117" t="s">
        <v>42</v>
      </c>
      <c r="L117" t="s">
        <v>43</v>
      </c>
      <c r="M117" t="s">
        <v>44</v>
      </c>
      <c r="N117" t="s">
        <v>45</v>
      </c>
      <c r="O117" t="s">
        <v>46</v>
      </c>
      <c r="P117" t="s">
        <v>47</v>
      </c>
      <c r="Q117" t="s">
        <v>26</v>
      </c>
      <c r="R117" t="s">
        <v>48</v>
      </c>
    </row>
    <row r="118" spans="1:18" x14ac:dyDescent="0.2">
      <c r="A118">
        <v>42</v>
      </c>
      <c r="B118">
        <v>45317</v>
      </c>
      <c r="C118">
        <v>1351</v>
      </c>
      <c r="D118">
        <v>4</v>
      </c>
      <c r="E118" t="s">
        <v>31</v>
      </c>
      <c r="F118">
        <v>4</v>
      </c>
      <c r="G118">
        <v>1.5</v>
      </c>
      <c r="H118">
        <v>217</v>
      </c>
      <c r="I118">
        <v>1</v>
      </c>
      <c r="J118" t="s">
        <v>41</v>
      </c>
      <c r="K118" t="s">
        <v>42</v>
      </c>
      <c r="L118" t="s">
        <v>43</v>
      </c>
      <c r="M118" t="s">
        <v>44</v>
      </c>
      <c r="N118" t="s">
        <v>45</v>
      </c>
      <c r="O118" t="s">
        <v>46</v>
      </c>
      <c r="P118" t="s">
        <v>47</v>
      </c>
      <c r="Q118" t="s">
        <v>26</v>
      </c>
      <c r="R118" t="s">
        <v>48</v>
      </c>
    </row>
    <row r="119" spans="1:18" x14ac:dyDescent="0.2">
      <c r="A119">
        <v>42</v>
      </c>
      <c r="B119">
        <v>45318</v>
      </c>
      <c r="C119">
        <v>1351</v>
      </c>
      <c r="D119">
        <v>5</v>
      </c>
      <c r="E119" t="s">
        <v>29</v>
      </c>
      <c r="F119">
        <v>3</v>
      </c>
      <c r="G119">
        <v>1.25</v>
      </c>
      <c r="H119">
        <v>120</v>
      </c>
      <c r="I119">
        <v>1</v>
      </c>
      <c r="J119" t="s">
        <v>41</v>
      </c>
      <c r="K119" t="s">
        <v>42</v>
      </c>
      <c r="L119" t="s">
        <v>43</v>
      </c>
      <c r="M119" t="s">
        <v>44</v>
      </c>
      <c r="N119" t="s">
        <v>45</v>
      </c>
      <c r="O119" t="s">
        <v>46</v>
      </c>
      <c r="P119" t="s">
        <v>47</v>
      </c>
      <c r="Q119" t="s">
        <v>26</v>
      </c>
      <c r="R119" t="s">
        <v>48</v>
      </c>
    </row>
    <row r="120" spans="1:18" x14ac:dyDescent="0.2">
      <c r="A120">
        <v>43</v>
      </c>
      <c r="B120">
        <v>45319</v>
      </c>
      <c r="C120">
        <v>3518</v>
      </c>
      <c r="D120">
        <v>3</v>
      </c>
      <c r="E120" t="s">
        <v>30</v>
      </c>
      <c r="F120">
        <v>5</v>
      </c>
      <c r="G120">
        <v>2.2000000000000002</v>
      </c>
      <c r="H120">
        <v>125</v>
      </c>
      <c r="I120">
        <v>5</v>
      </c>
      <c r="J120" t="s">
        <v>19</v>
      </c>
      <c r="K120" t="s">
        <v>20</v>
      </c>
      <c r="L120" t="s">
        <v>21</v>
      </c>
      <c r="M120" t="s">
        <v>22</v>
      </c>
      <c r="N120" t="s">
        <v>23</v>
      </c>
      <c r="O120" t="s">
        <v>24</v>
      </c>
      <c r="P120" t="s">
        <v>25</v>
      </c>
      <c r="Q120" t="s">
        <v>26</v>
      </c>
      <c r="R120" t="s">
        <v>27</v>
      </c>
    </row>
    <row r="121" spans="1:18" x14ac:dyDescent="0.2">
      <c r="A121">
        <v>43</v>
      </c>
      <c r="B121">
        <v>45320</v>
      </c>
      <c r="C121">
        <v>3518</v>
      </c>
      <c r="D121">
        <v>1</v>
      </c>
      <c r="E121" t="s">
        <v>18</v>
      </c>
      <c r="F121">
        <v>5</v>
      </c>
      <c r="G121">
        <v>2</v>
      </c>
      <c r="H121">
        <v>209</v>
      </c>
      <c r="I121">
        <v>5</v>
      </c>
      <c r="J121" t="s">
        <v>19</v>
      </c>
      <c r="K121" t="s">
        <v>20</v>
      </c>
      <c r="L121" t="s">
        <v>21</v>
      </c>
      <c r="M121" t="s">
        <v>22</v>
      </c>
      <c r="N121" t="s">
        <v>23</v>
      </c>
      <c r="O121" t="s">
        <v>24</v>
      </c>
      <c r="P121" t="s">
        <v>25</v>
      </c>
      <c r="Q121" t="s">
        <v>26</v>
      </c>
      <c r="R121" t="s">
        <v>27</v>
      </c>
    </row>
    <row r="122" spans="1:18" x14ac:dyDescent="0.2">
      <c r="A122">
        <v>43</v>
      </c>
      <c r="B122">
        <v>45321</v>
      </c>
      <c r="C122">
        <v>3518</v>
      </c>
      <c r="D122">
        <v>6</v>
      </c>
      <c r="E122" t="s">
        <v>32</v>
      </c>
      <c r="F122">
        <v>6</v>
      </c>
      <c r="G122">
        <v>2.75</v>
      </c>
      <c r="H122">
        <v>186</v>
      </c>
      <c r="I122">
        <v>5</v>
      </c>
      <c r="J122" t="s">
        <v>19</v>
      </c>
      <c r="K122" t="s">
        <v>20</v>
      </c>
      <c r="L122" t="s">
        <v>21</v>
      </c>
      <c r="M122" t="s">
        <v>22</v>
      </c>
      <c r="N122" t="s">
        <v>23</v>
      </c>
      <c r="O122" t="s">
        <v>24</v>
      </c>
      <c r="P122" t="s">
        <v>25</v>
      </c>
      <c r="Q122" t="s">
        <v>26</v>
      </c>
      <c r="R122" t="s">
        <v>27</v>
      </c>
    </row>
    <row r="123" spans="1:18" x14ac:dyDescent="0.2">
      <c r="A123">
        <v>43</v>
      </c>
      <c r="B123">
        <v>45322</v>
      </c>
      <c r="C123">
        <v>3518</v>
      </c>
      <c r="D123">
        <v>4</v>
      </c>
      <c r="E123" t="s">
        <v>31</v>
      </c>
      <c r="F123">
        <v>4</v>
      </c>
      <c r="G123">
        <v>1.5</v>
      </c>
      <c r="H123">
        <v>18</v>
      </c>
      <c r="I123">
        <v>5</v>
      </c>
      <c r="J123" t="s">
        <v>19</v>
      </c>
      <c r="K123" t="s">
        <v>20</v>
      </c>
      <c r="L123" t="s">
        <v>21</v>
      </c>
      <c r="M123" t="s">
        <v>22</v>
      </c>
      <c r="N123" t="s">
        <v>23</v>
      </c>
      <c r="O123" t="s">
        <v>24</v>
      </c>
      <c r="P123" t="s">
        <v>25</v>
      </c>
      <c r="Q123" t="s">
        <v>26</v>
      </c>
      <c r="R123" t="s">
        <v>27</v>
      </c>
    </row>
    <row r="124" spans="1:18" x14ac:dyDescent="0.2">
      <c r="A124">
        <v>43</v>
      </c>
      <c r="B124">
        <v>45323</v>
      </c>
      <c r="C124">
        <v>3518</v>
      </c>
      <c r="D124">
        <v>5</v>
      </c>
      <c r="E124" t="s">
        <v>29</v>
      </c>
      <c r="F124">
        <v>3</v>
      </c>
      <c r="G124">
        <v>1.25</v>
      </c>
      <c r="H124">
        <v>220</v>
      </c>
      <c r="I124">
        <v>5</v>
      </c>
      <c r="J124" t="s">
        <v>19</v>
      </c>
      <c r="K124" t="s">
        <v>20</v>
      </c>
      <c r="L124" t="s">
        <v>21</v>
      </c>
      <c r="M124" t="s">
        <v>22</v>
      </c>
      <c r="O124" t="s">
        <v>24</v>
      </c>
      <c r="P124" t="s">
        <v>25</v>
      </c>
      <c r="Q124" t="s">
        <v>26</v>
      </c>
      <c r="R124" t="s">
        <v>27</v>
      </c>
    </row>
    <row r="125" spans="1:18" x14ac:dyDescent="0.2">
      <c r="A125">
        <v>44</v>
      </c>
      <c r="B125">
        <v>45324</v>
      </c>
      <c r="C125">
        <v>952</v>
      </c>
      <c r="D125">
        <v>2</v>
      </c>
      <c r="E125" t="s">
        <v>28</v>
      </c>
      <c r="F125">
        <v>1</v>
      </c>
      <c r="G125">
        <v>0.5</v>
      </c>
      <c r="H125">
        <v>155</v>
      </c>
      <c r="I125">
        <v>3</v>
      </c>
      <c r="J125" t="s">
        <v>57</v>
      </c>
      <c r="K125" t="s">
        <v>58</v>
      </c>
      <c r="L125" t="s">
        <v>59</v>
      </c>
      <c r="M125" t="s">
        <v>60</v>
      </c>
      <c r="N125" t="s">
        <v>61</v>
      </c>
      <c r="O125" t="s">
        <v>62</v>
      </c>
      <c r="P125" t="s">
        <v>64</v>
      </c>
      <c r="Q125" t="s">
        <v>26</v>
      </c>
      <c r="R125" t="s">
        <v>63</v>
      </c>
    </row>
    <row r="126" spans="1:18" x14ac:dyDescent="0.2">
      <c r="A126">
        <v>44</v>
      </c>
      <c r="B126">
        <v>45325</v>
      </c>
      <c r="C126">
        <v>952</v>
      </c>
      <c r="D126">
        <v>5</v>
      </c>
      <c r="E126" t="s">
        <v>29</v>
      </c>
      <c r="F126">
        <v>3</v>
      </c>
      <c r="G126">
        <v>1.25</v>
      </c>
      <c r="H126">
        <v>239</v>
      </c>
      <c r="I126">
        <v>3</v>
      </c>
      <c r="J126" t="s">
        <v>57</v>
      </c>
      <c r="K126" t="s">
        <v>58</v>
      </c>
      <c r="L126" t="s">
        <v>59</v>
      </c>
      <c r="M126" t="s">
        <v>60</v>
      </c>
      <c r="N126" t="s">
        <v>61</v>
      </c>
      <c r="O126" t="s">
        <v>62</v>
      </c>
      <c r="P126" t="s">
        <v>64</v>
      </c>
      <c r="Q126" t="s">
        <v>26</v>
      </c>
      <c r="R126" t="s">
        <v>63</v>
      </c>
    </row>
    <row r="127" spans="1:18" x14ac:dyDescent="0.2">
      <c r="A127">
        <v>44</v>
      </c>
      <c r="B127">
        <v>45326</v>
      </c>
      <c r="C127">
        <v>952</v>
      </c>
      <c r="D127">
        <v>4</v>
      </c>
      <c r="E127" t="s">
        <v>31</v>
      </c>
      <c r="F127">
        <v>4</v>
      </c>
      <c r="G127">
        <v>1.5</v>
      </c>
      <c r="H127">
        <v>20</v>
      </c>
      <c r="I127">
        <v>3</v>
      </c>
      <c r="J127" t="s">
        <v>57</v>
      </c>
      <c r="K127" t="s">
        <v>58</v>
      </c>
      <c r="L127" t="s">
        <v>59</v>
      </c>
      <c r="M127" t="s">
        <v>60</v>
      </c>
      <c r="N127" t="s">
        <v>61</v>
      </c>
      <c r="O127" t="s">
        <v>62</v>
      </c>
      <c r="P127" t="s">
        <v>64</v>
      </c>
      <c r="Q127" t="s">
        <v>26</v>
      </c>
      <c r="R127" t="s">
        <v>63</v>
      </c>
    </row>
    <row r="128" spans="1:18" x14ac:dyDescent="0.2">
      <c r="A128">
        <v>45</v>
      </c>
      <c r="B128">
        <v>45327</v>
      </c>
      <c r="C128">
        <v>2208</v>
      </c>
      <c r="D128">
        <v>6</v>
      </c>
      <c r="E128" t="s">
        <v>32</v>
      </c>
      <c r="F128">
        <v>6</v>
      </c>
      <c r="G128">
        <v>2.75</v>
      </c>
      <c r="H128">
        <v>144</v>
      </c>
      <c r="I128">
        <v>3</v>
      </c>
      <c r="J128" t="s">
        <v>57</v>
      </c>
      <c r="K128" t="s">
        <v>58</v>
      </c>
      <c r="L128" t="s">
        <v>59</v>
      </c>
      <c r="M128" t="s">
        <v>60</v>
      </c>
      <c r="N128" t="s">
        <v>61</v>
      </c>
      <c r="O128" t="s">
        <v>62</v>
      </c>
      <c r="P128" t="s">
        <v>64</v>
      </c>
      <c r="Q128" t="s">
        <v>26</v>
      </c>
      <c r="R128" t="s">
        <v>63</v>
      </c>
    </row>
    <row r="129" spans="1:18" x14ac:dyDescent="0.2">
      <c r="A129">
        <v>45</v>
      </c>
      <c r="B129">
        <v>45328</v>
      </c>
      <c r="C129">
        <v>2208</v>
      </c>
      <c r="D129">
        <v>4</v>
      </c>
      <c r="E129" t="s">
        <v>31</v>
      </c>
      <c r="F129">
        <v>4</v>
      </c>
      <c r="G129">
        <v>1.5</v>
      </c>
      <c r="H129">
        <v>168</v>
      </c>
      <c r="I129">
        <v>3</v>
      </c>
      <c r="J129" t="s">
        <v>57</v>
      </c>
      <c r="K129" t="s">
        <v>58</v>
      </c>
      <c r="L129" t="s">
        <v>59</v>
      </c>
      <c r="M129" t="s">
        <v>60</v>
      </c>
      <c r="N129" t="s">
        <v>61</v>
      </c>
      <c r="O129" t="s">
        <v>62</v>
      </c>
      <c r="P129" t="s">
        <v>64</v>
      </c>
      <c r="Q129" t="s">
        <v>26</v>
      </c>
      <c r="R129" t="s">
        <v>63</v>
      </c>
    </row>
    <row r="130" spans="1:18" x14ac:dyDescent="0.2">
      <c r="A130">
        <v>45</v>
      </c>
      <c r="B130">
        <v>45329</v>
      </c>
      <c r="C130">
        <v>2208</v>
      </c>
      <c r="D130">
        <v>5</v>
      </c>
      <c r="E130" t="s">
        <v>29</v>
      </c>
      <c r="F130">
        <v>3</v>
      </c>
      <c r="G130">
        <v>1.25</v>
      </c>
      <c r="H130">
        <v>224</v>
      </c>
      <c r="I130">
        <v>3</v>
      </c>
      <c r="J130" t="s">
        <v>57</v>
      </c>
      <c r="K130" t="s">
        <v>58</v>
      </c>
      <c r="L130" t="s">
        <v>59</v>
      </c>
      <c r="M130" t="s">
        <v>60</v>
      </c>
      <c r="N130" t="s">
        <v>61</v>
      </c>
      <c r="O130" t="s">
        <v>62</v>
      </c>
      <c r="P130" t="s">
        <v>64</v>
      </c>
      <c r="Q130" t="s">
        <v>26</v>
      </c>
      <c r="R130" t="s">
        <v>63</v>
      </c>
    </row>
    <row r="131" spans="1:18" x14ac:dyDescent="0.2">
      <c r="A131">
        <v>46</v>
      </c>
      <c r="B131">
        <v>45330</v>
      </c>
      <c r="C131">
        <v>648</v>
      </c>
      <c r="D131">
        <v>2</v>
      </c>
      <c r="E131" t="s">
        <v>28</v>
      </c>
      <c r="F131">
        <v>1</v>
      </c>
      <c r="G131">
        <v>0.5</v>
      </c>
      <c r="H131">
        <v>177</v>
      </c>
      <c r="I131">
        <v>5</v>
      </c>
      <c r="J131" t="s">
        <v>19</v>
      </c>
      <c r="K131" t="s">
        <v>20</v>
      </c>
      <c r="L131" t="s">
        <v>21</v>
      </c>
      <c r="M131" t="s">
        <v>22</v>
      </c>
      <c r="N131" t="s">
        <v>23</v>
      </c>
      <c r="O131" t="s">
        <v>24</v>
      </c>
      <c r="P131" t="s">
        <v>25</v>
      </c>
      <c r="Q131" t="s">
        <v>26</v>
      </c>
      <c r="R131" t="s">
        <v>27</v>
      </c>
    </row>
    <row r="132" spans="1:18" x14ac:dyDescent="0.2">
      <c r="A132">
        <v>46</v>
      </c>
      <c r="B132">
        <v>45331</v>
      </c>
      <c r="C132">
        <v>648</v>
      </c>
      <c r="D132">
        <v>4</v>
      </c>
      <c r="E132" t="s">
        <v>31</v>
      </c>
      <c r="F132">
        <v>4</v>
      </c>
      <c r="G132">
        <v>1.5</v>
      </c>
      <c r="H132">
        <v>66</v>
      </c>
      <c r="I132">
        <v>5</v>
      </c>
      <c r="J132" t="s">
        <v>19</v>
      </c>
      <c r="K132" t="s">
        <v>20</v>
      </c>
      <c r="L132" t="s">
        <v>21</v>
      </c>
      <c r="M132" t="s">
        <v>22</v>
      </c>
      <c r="N132" t="s">
        <v>23</v>
      </c>
      <c r="O132" t="s">
        <v>24</v>
      </c>
      <c r="P132" t="s">
        <v>25</v>
      </c>
      <c r="Q132" t="s">
        <v>26</v>
      </c>
      <c r="R132" t="s">
        <v>27</v>
      </c>
    </row>
    <row r="133" spans="1:18" x14ac:dyDescent="0.2">
      <c r="A133">
        <v>46</v>
      </c>
      <c r="B133">
        <v>45332</v>
      </c>
      <c r="C133">
        <v>648</v>
      </c>
      <c r="D133">
        <v>5</v>
      </c>
      <c r="E133" t="s">
        <v>29</v>
      </c>
      <c r="F133">
        <v>3</v>
      </c>
      <c r="G133">
        <v>1.25</v>
      </c>
      <c r="H133">
        <v>69</v>
      </c>
      <c r="I133">
        <v>5</v>
      </c>
      <c r="J133" t="s">
        <v>19</v>
      </c>
      <c r="K133" t="s">
        <v>20</v>
      </c>
      <c r="L133" t="s">
        <v>21</v>
      </c>
      <c r="M133" t="s">
        <v>22</v>
      </c>
      <c r="N133" t="s">
        <v>23</v>
      </c>
      <c r="O133" t="s">
        <v>24</v>
      </c>
      <c r="P133" t="s">
        <v>25</v>
      </c>
      <c r="Q133" t="s">
        <v>26</v>
      </c>
      <c r="R133" t="s">
        <v>27</v>
      </c>
    </row>
    <row r="134" spans="1:18" x14ac:dyDescent="0.2">
      <c r="A134">
        <v>47</v>
      </c>
      <c r="B134">
        <v>45333</v>
      </c>
      <c r="C134">
        <v>798</v>
      </c>
      <c r="E134" t="s">
        <v>31</v>
      </c>
      <c r="F134">
        <v>4</v>
      </c>
      <c r="G134">
        <v>1.5</v>
      </c>
      <c r="H134">
        <v>132</v>
      </c>
      <c r="I134">
        <v>3</v>
      </c>
      <c r="J134" t="s">
        <v>57</v>
      </c>
      <c r="K134" t="s">
        <v>58</v>
      </c>
      <c r="L134" t="s">
        <v>59</v>
      </c>
      <c r="M134" t="s">
        <v>60</v>
      </c>
      <c r="N134" t="s">
        <v>61</v>
      </c>
      <c r="O134" t="s">
        <v>62</v>
      </c>
      <c r="P134" t="s">
        <v>64</v>
      </c>
      <c r="Q134" t="s">
        <v>26</v>
      </c>
      <c r="R134" t="s">
        <v>63</v>
      </c>
    </row>
    <row r="135" spans="1:18" x14ac:dyDescent="0.2">
      <c r="A135">
        <v>47</v>
      </c>
      <c r="B135">
        <v>45334</v>
      </c>
      <c r="C135">
        <v>798</v>
      </c>
      <c r="D135">
        <v>6</v>
      </c>
      <c r="E135" t="s">
        <v>32</v>
      </c>
      <c r="F135">
        <v>6</v>
      </c>
      <c r="G135">
        <v>2.75</v>
      </c>
      <c r="H135">
        <v>45</v>
      </c>
      <c r="I135">
        <v>3</v>
      </c>
      <c r="J135" t="s">
        <v>57</v>
      </c>
      <c r="K135" t="s">
        <v>58</v>
      </c>
      <c r="L135" t="s">
        <v>59</v>
      </c>
      <c r="M135" t="s">
        <v>60</v>
      </c>
      <c r="N135" t="s">
        <v>61</v>
      </c>
      <c r="O135" t="s">
        <v>62</v>
      </c>
      <c r="P135" t="s">
        <v>64</v>
      </c>
      <c r="Q135" t="s">
        <v>26</v>
      </c>
      <c r="R135" t="s">
        <v>63</v>
      </c>
    </row>
    <row r="136" spans="1:18" x14ac:dyDescent="0.2">
      <c r="A136">
        <v>48</v>
      </c>
      <c r="B136">
        <v>45335</v>
      </c>
      <c r="C136">
        <v>655</v>
      </c>
      <c r="D136">
        <v>3</v>
      </c>
      <c r="E136" t="s">
        <v>30</v>
      </c>
      <c r="F136">
        <v>5</v>
      </c>
      <c r="G136">
        <v>2.2000000000000002</v>
      </c>
      <c r="H136">
        <v>131</v>
      </c>
      <c r="I136">
        <v>4</v>
      </c>
      <c r="J136" t="s">
        <v>49</v>
      </c>
      <c r="K136" t="s">
        <v>50</v>
      </c>
      <c r="L136" t="s">
        <v>51</v>
      </c>
      <c r="M136" t="s">
        <v>52</v>
      </c>
      <c r="N136" t="s">
        <v>53</v>
      </c>
      <c r="O136" t="s">
        <v>54</v>
      </c>
      <c r="P136" t="s">
        <v>55</v>
      </c>
      <c r="Q136" t="s">
        <v>26</v>
      </c>
      <c r="R136" t="s">
        <v>56</v>
      </c>
    </row>
    <row r="137" spans="1:18" x14ac:dyDescent="0.2">
      <c r="A137">
        <v>49</v>
      </c>
      <c r="B137">
        <v>45336</v>
      </c>
      <c r="C137">
        <v>588</v>
      </c>
      <c r="E137" t="s">
        <v>31</v>
      </c>
      <c r="F137">
        <v>4</v>
      </c>
      <c r="G137">
        <v>1.5</v>
      </c>
      <c r="H137">
        <v>147</v>
      </c>
      <c r="J137" t="s">
        <v>41</v>
      </c>
      <c r="K137" t="s">
        <v>42</v>
      </c>
      <c r="L137" t="s">
        <v>43</v>
      </c>
      <c r="M137" t="s">
        <v>44</v>
      </c>
      <c r="N137" t="s">
        <v>45</v>
      </c>
      <c r="O137" t="s">
        <v>46</v>
      </c>
      <c r="P137" t="s">
        <v>47</v>
      </c>
      <c r="Q137" t="s">
        <v>26</v>
      </c>
      <c r="R137" t="s">
        <v>48</v>
      </c>
    </row>
    <row r="138" spans="1:18" x14ac:dyDescent="0.2">
      <c r="A138">
        <v>50</v>
      </c>
      <c r="B138">
        <v>45337</v>
      </c>
      <c r="C138">
        <v>180</v>
      </c>
      <c r="D138">
        <v>6</v>
      </c>
      <c r="E138" t="s">
        <v>32</v>
      </c>
      <c r="F138">
        <v>6</v>
      </c>
      <c r="G138">
        <v>2.75</v>
      </c>
      <c r="H138">
        <v>30</v>
      </c>
      <c r="I138">
        <v>4</v>
      </c>
      <c r="J138" t="s">
        <v>49</v>
      </c>
      <c r="K138" t="s">
        <v>50</v>
      </c>
      <c r="L138" t="s">
        <v>51</v>
      </c>
      <c r="M138" t="s">
        <v>52</v>
      </c>
      <c r="N138" t="s">
        <v>53</v>
      </c>
      <c r="O138" t="s">
        <v>54</v>
      </c>
      <c r="P138" t="s">
        <v>55</v>
      </c>
      <c r="Q138" t="s">
        <v>26</v>
      </c>
      <c r="R138"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D40C9-769F-C24F-B068-451E9EB756B8}">
  <dimension ref="A1:V135"/>
  <sheetViews>
    <sheetView zoomScale="125" zoomScaleNormal="125" workbookViewId="0">
      <pane ySplit="1" topLeftCell="A2" activePane="bottomLeft" state="frozen"/>
      <selection pane="bottomLeft" activeCell="E22" sqref="E22"/>
    </sheetView>
  </sheetViews>
  <sheetFormatPr baseColWidth="10" defaultColWidth="8.83203125" defaultRowHeight="15" x14ac:dyDescent="0.2"/>
  <cols>
    <col min="1" max="1" width="10.6640625" customWidth="1"/>
    <col min="2" max="2" width="10.5" style="3" bestFit="1" customWidth="1"/>
    <col min="3" max="3" width="13.6640625" customWidth="1"/>
    <col min="4" max="4" width="10.1640625" customWidth="1"/>
    <col min="5" max="5" width="15.5" customWidth="1"/>
    <col min="6" max="6" width="15.1640625" style="7" customWidth="1"/>
    <col min="7" max="7" width="11.83203125" style="7" customWidth="1"/>
    <col min="8" max="8" width="16.83203125" style="10" customWidth="1"/>
    <col min="9" max="9" width="10.6640625" style="4" customWidth="1"/>
    <col min="10" max="11" width="11" style="4" customWidth="1"/>
    <col min="12" max="12" width="10.1640625" customWidth="1"/>
    <col min="13" max="13" width="17.1640625" customWidth="1"/>
    <col min="14" max="14" width="12.6640625" customWidth="1"/>
    <col min="17" max="17" width="12.1640625" customWidth="1"/>
    <col min="18" max="18" width="22" customWidth="1"/>
    <col min="19" max="19" width="12.6640625" customWidth="1"/>
    <col min="21" max="21" width="19.5" bestFit="1" customWidth="1"/>
    <col min="22" max="22" width="13.33203125" customWidth="1"/>
  </cols>
  <sheetData>
    <row r="1" spans="1:22" s="1" customFormat="1" x14ac:dyDescent="0.2">
      <c r="A1" s="1" t="s">
        <v>0</v>
      </c>
      <c r="B1" s="2" t="s">
        <v>1</v>
      </c>
      <c r="C1" s="1" t="s">
        <v>2</v>
      </c>
      <c r="D1" s="1" t="s">
        <v>3</v>
      </c>
      <c r="E1" s="1" t="s">
        <v>4</v>
      </c>
      <c r="F1" s="6" t="s">
        <v>5</v>
      </c>
      <c r="G1" s="6" t="s">
        <v>6</v>
      </c>
      <c r="H1" s="9" t="s">
        <v>7</v>
      </c>
      <c r="I1" s="5" t="s">
        <v>66</v>
      </c>
      <c r="J1" s="5" t="s">
        <v>67</v>
      </c>
      <c r="K1" s="5" t="s">
        <v>68</v>
      </c>
      <c r="L1" s="1" t="s">
        <v>8</v>
      </c>
      <c r="M1" s="1" t="s">
        <v>10</v>
      </c>
      <c r="N1" s="1" t="s">
        <v>13</v>
      </c>
      <c r="O1" s="1" t="s">
        <v>14</v>
      </c>
      <c r="P1" s="1" t="s">
        <v>15</v>
      </c>
      <c r="Q1" s="1" t="s">
        <v>16</v>
      </c>
      <c r="R1" s="1" t="s">
        <v>17</v>
      </c>
      <c r="S1" s="1" t="s">
        <v>69</v>
      </c>
    </row>
    <row r="2" spans="1:22" x14ac:dyDescent="0.2">
      <c r="A2">
        <v>4</v>
      </c>
      <c r="B2" s="3">
        <v>45217</v>
      </c>
      <c r="C2">
        <v>737</v>
      </c>
      <c r="D2">
        <v>4</v>
      </c>
      <c r="E2" t="s">
        <v>31</v>
      </c>
      <c r="F2" s="7">
        <v>4</v>
      </c>
      <c r="G2" s="7">
        <v>1.5</v>
      </c>
      <c r="H2" s="10">
        <v>82</v>
      </c>
      <c r="I2" s="4">
        <f>H2*F2</f>
        <v>328</v>
      </c>
      <c r="J2" s="4">
        <f>G2*H2</f>
        <v>123</v>
      </c>
      <c r="K2" s="4">
        <f>I2-J2</f>
        <v>205</v>
      </c>
      <c r="L2">
        <v>1</v>
      </c>
      <c r="M2" t="s">
        <v>42</v>
      </c>
      <c r="N2" t="s">
        <v>45</v>
      </c>
      <c r="O2" t="s">
        <v>46</v>
      </c>
      <c r="P2">
        <v>98112</v>
      </c>
      <c r="Q2" t="s">
        <v>26</v>
      </c>
      <c r="R2" t="s">
        <v>48</v>
      </c>
      <c r="S2">
        <v>1</v>
      </c>
      <c r="U2" s="19"/>
      <c r="V2" s="13"/>
    </row>
    <row r="3" spans="1:22" x14ac:dyDescent="0.2">
      <c r="A3">
        <v>4</v>
      </c>
      <c r="B3" s="3">
        <v>45218</v>
      </c>
      <c r="C3">
        <v>737</v>
      </c>
      <c r="D3">
        <v>3</v>
      </c>
      <c r="E3" t="s">
        <v>30</v>
      </c>
      <c r="F3" s="7">
        <v>5</v>
      </c>
      <c r="G3" s="7">
        <v>2.2000000000000002</v>
      </c>
      <c r="H3" s="10">
        <v>25</v>
      </c>
      <c r="I3" s="4">
        <f t="shared" ref="I3:I66" si="0">H3*F3</f>
        <v>125</v>
      </c>
      <c r="J3" s="4">
        <f t="shared" ref="J3:J66" si="1">G3*H3</f>
        <v>55.000000000000007</v>
      </c>
      <c r="K3" s="4">
        <f t="shared" ref="K3:K66" si="2">I3-J3</f>
        <v>70</v>
      </c>
      <c r="L3">
        <v>1</v>
      </c>
      <c r="M3" t="s">
        <v>42</v>
      </c>
      <c r="N3" t="s">
        <v>45</v>
      </c>
      <c r="O3" t="s">
        <v>46</v>
      </c>
      <c r="P3">
        <v>98112</v>
      </c>
      <c r="Q3" t="s">
        <v>26</v>
      </c>
      <c r="R3" t="s">
        <v>48</v>
      </c>
      <c r="S3">
        <v>1</v>
      </c>
      <c r="U3" s="20"/>
      <c r="V3" s="13"/>
    </row>
    <row r="4" spans="1:22" x14ac:dyDescent="0.2">
      <c r="A4">
        <v>4</v>
      </c>
      <c r="B4" s="3">
        <v>45219</v>
      </c>
      <c r="C4">
        <v>737</v>
      </c>
      <c r="D4">
        <v>2</v>
      </c>
      <c r="E4" t="s">
        <v>28</v>
      </c>
      <c r="F4" s="7">
        <v>1</v>
      </c>
      <c r="G4" s="7">
        <v>0.5</v>
      </c>
      <c r="H4" s="10">
        <v>209</v>
      </c>
      <c r="I4" s="4">
        <f t="shared" si="0"/>
        <v>209</v>
      </c>
      <c r="J4" s="4">
        <f t="shared" si="1"/>
        <v>104.5</v>
      </c>
      <c r="K4" s="4">
        <f t="shared" si="2"/>
        <v>104.5</v>
      </c>
      <c r="L4">
        <v>1</v>
      </c>
      <c r="M4" t="s">
        <v>42</v>
      </c>
      <c r="N4" t="s">
        <v>45</v>
      </c>
      <c r="O4" t="s">
        <v>46</v>
      </c>
      <c r="P4">
        <v>98112</v>
      </c>
      <c r="Q4" t="s">
        <v>26</v>
      </c>
      <c r="R4" t="s">
        <v>48</v>
      </c>
      <c r="S4">
        <v>1</v>
      </c>
      <c r="U4" s="1"/>
    </row>
    <row r="5" spans="1:22" x14ac:dyDescent="0.2">
      <c r="A5">
        <v>4</v>
      </c>
      <c r="B5" s="3">
        <v>45220</v>
      </c>
      <c r="C5">
        <v>737</v>
      </c>
      <c r="D5">
        <v>5</v>
      </c>
      <c r="E5" t="s">
        <v>29</v>
      </c>
      <c r="F5" s="7">
        <v>3</v>
      </c>
      <c r="G5" s="7">
        <v>1.25</v>
      </c>
      <c r="H5" s="10">
        <v>25</v>
      </c>
      <c r="I5" s="4">
        <f t="shared" si="0"/>
        <v>75</v>
      </c>
      <c r="J5" s="4">
        <f t="shared" si="1"/>
        <v>31.25</v>
      </c>
      <c r="K5" s="4">
        <f t="shared" si="2"/>
        <v>43.75</v>
      </c>
      <c r="L5">
        <v>1</v>
      </c>
      <c r="M5" t="s">
        <v>42</v>
      </c>
      <c r="N5" t="s">
        <v>45</v>
      </c>
      <c r="O5" t="s">
        <v>46</v>
      </c>
      <c r="P5">
        <v>98112</v>
      </c>
      <c r="Q5" t="s">
        <v>26</v>
      </c>
      <c r="R5" t="s">
        <v>48</v>
      </c>
      <c r="S5">
        <v>1</v>
      </c>
      <c r="U5" s="19"/>
      <c r="V5" s="13"/>
    </row>
    <row r="6" spans="1:22" x14ac:dyDescent="0.2">
      <c r="A6">
        <v>12</v>
      </c>
      <c r="B6" s="3">
        <v>45241</v>
      </c>
      <c r="C6">
        <v>1680</v>
      </c>
      <c r="D6">
        <v>1</v>
      </c>
      <c r="E6" t="s">
        <v>18</v>
      </c>
      <c r="F6" s="7">
        <v>5</v>
      </c>
      <c r="G6" s="7">
        <v>2</v>
      </c>
      <c r="H6" s="10">
        <v>171</v>
      </c>
      <c r="I6" s="4">
        <f t="shared" si="0"/>
        <v>855</v>
      </c>
      <c r="J6" s="4">
        <f t="shared" si="1"/>
        <v>342</v>
      </c>
      <c r="K6" s="4">
        <f t="shared" si="2"/>
        <v>513</v>
      </c>
      <c r="L6">
        <v>1</v>
      </c>
      <c r="M6" t="s">
        <v>42</v>
      </c>
      <c r="N6" t="s">
        <v>45</v>
      </c>
      <c r="O6" t="s">
        <v>46</v>
      </c>
      <c r="P6">
        <v>98112</v>
      </c>
      <c r="Q6" t="s">
        <v>26</v>
      </c>
      <c r="R6" t="s">
        <v>48</v>
      </c>
      <c r="S6">
        <v>1</v>
      </c>
      <c r="U6" s="20"/>
      <c r="V6" s="13"/>
    </row>
    <row r="7" spans="1:22" x14ac:dyDescent="0.2">
      <c r="A7">
        <v>12</v>
      </c>
      <c r="B7" s="3">
        <v>45242</v>
      </c>
      <c r="C7">
        <v>1680</v>
      </c>
      <c r="D7">
        <v>5</v>
      </c>
      <c r="E7" t="s">
        <v>29</v>
      </c>
      <c r="F7" s="7">
        <v>3</v>
      </c>
      <c r="G7" s="7">
        <v>1.25</v>
      </c>
      <c r="H7" s="10">
        <v>197</v>
      </c>
      <c r="I7" s="4">
        <f t="shared" si="0"/>
        <v>591</v>
      </c>
      <c r="J7" s="4">
        <f t="shared" si="1"/>
        <v>246.25</v>
      </c>
      <c r="K7" s="4">
        <f t="shared" si="2"/>
        <v>344.75</v>
      </c>
      <c r="L7">
        <v>1</v>
      </c>
      <c r="M7" t="s">
        <v>42</v>
      </c>
      <c r="N7" t="s">
        <v>45</v>
      </c>
      <c r="O7" t="s">
        <v>46</v>
      </c>
      <c r="P7">
        <v>98112</v>
      </c>
      <c r="Q7" t="s">
        <v>26</v>
      </c>
      <c r="R7" t="s">
        <v>48</v>
      </c>
      <c r="S7">
        <v>1</v>
      </c>
    </row>
    <row r="8" spans="1:22" x14ac:dyDescent="0.2">
      <c r="A8">
        <v>12</v>
      </c>
      <c r="B8" s="3">
        <v>45243</v>
      </c>
      <c r="C8">
        <v>1680</v>
      </c>
      <c r="D8">
        <v>2</v>
      </c>
      <c r="E8" t="s">
        <v>28</v>
      </c>
      <c r="F8" s="7">
        <v>1</v>
      </c>
      <c r="G8" s="7">
        <v>0.5</v>
      </c>
      <c r="H8" s="10">
        <v>234</v>
      </c>
      <c r="I8" s="4">
        <f t="shared" si="0"/>
        <v>234</v>
      </c>
      <c r="J8" s="4">
        <f t="shared" si="1"/>
        <v>117</v>
      </c>
      <c r="K8" s="4">
        <f t="shared" si="2"/>
        <v>117</v>
      </c>
      <c r="L8">
        <v>1</v>
      </c>
      <c r="M8" t="s">
        <v>42</v>
      </c>
      <c r="N8" t="s">
        <v>45</v>
      </c>
      <c r="O8" t="s">
        <v>46</v>
      </c>
      <c r="P8">
        <v>98112</v>
      </c>
      <c r="Q8" t="s">
        <v>26</v>
      </c>
      <c r="R8" t="s">
        <v>48</v>
      </c>
      <c r="S8">
        <v>1</v>
      </c>
    </row>
    <row r="9" spans="1:22" x14ac:dyDescent="0.2">
      <c r="A9">
        <v>14</v>
      </c>
      <c r="B9" s="3">
        <v>45249</v>
      </c>
      <c r="C9">
        <v>773</v>
      </c>
      <c r="D9">
        <v>3</v>
      </c>
      <c r="E9" t="s">
        <v>30</v>
      </c>
      <c r="F9" s="7">
        <v>5</v>
      </c>
      <c r="G9" s="7">
        <v>2.2000000000000002</v>
      </c>
      <c r="H9" s="10">
        <v>78</v>
      </c>
      <c r="I9" s="4">
        <f t="shared" si="0"/>
        <v>390</v>
      </c>
      <c r="J9" s="4">
        <f t="shared" si="1"/>
        <v>171.60000000000002</v>
      </c>
      <c r="K9" s="4">
        <f t="shared" si="2"/>
        <v>218.39999999999998</v>
      </c>
      <c r="L9">
        <v>1</v>
      </c>
      <c r="M9" t="s">
        <v>42</v>
      </c>
      <c r="N9" t="s">
        <v>45</v>
      </c>
      <c r="O9" t="s">
        <v>46</v>
      </c>
      <c r="P9">
        <v>98112</v>
      </c>
      <c r="Q9" t="s">
        <v>26</v>
      </c>
      <c r="R9" t="s">
        <v>48</v>
      </c>
      <c r="S9">
        <v>1</v>
      </c>
    </row>
    <row r="10" spans="1:22" x14ac:dyDescent="0.2">
      <c r="A10">
        <v>14</v>
      </c>
      <c r="B10" s="3">
        <v>45250</v>
      </c>
      <c r="C10">
        <v>773</v>
      </c>
      <c r="D10">
        <v>6</v>
      </c>
      <c r="E10" t="s">
        <v>32</v>
      </c>
      <c r="F10" s="7">
        <v>6</v>
      </c>
      <c r="G10" s="7">
        <v>2.75</v>
      </c>
      <c r="H10" s="10">
        <v>26</v>
      </c>
      <c r="I10" s="4">
        <f t="shared" si="0"/>
        <v>156</v>
      </c>
      <c r="J10" s="4">
        <f t="shared" si="1"/>
        <v>71.5</v>
      </c>
      <c r="K10" s="4">
        <f t="shared" si="2"/>
        <v>84.5</v>
      </c>
      <c r="L10">
        <v>1</v>
      </c>
      <c r="M10" t="s">
        <v>42</v>
      </c>
      <c r="N10" t="s">
        <v>45</v>
      </c>
      <c r="O10" t="s">
        <v>46</v>
      </c>
      <c r="P10">
        <v>98112</v>
      </c>
      <c r="Q10" t="s">
        <v>26</v>
      </c>
      <c r="R10" t="s">
        <v>48</v>
      </c>
      <c r="S10">
        <v>1</v>
      </c>
    </row>
    <row r="11" spans="1:22" x14ac:dyDescent="0.2">
      <c r="A11">
        <v>14</v>
      </c>
      <c r="B11" s="3">
        <v>45251</v>
      </c>
      <c r="C11">
        <v>773</v>
      </c>
      <c r="D11">
        <v>2</v>
      </c>
      <c r="E11" t="s">
        <v>28</v>
      </c>
      <c r="F11" s="7">
        <v>1</v>
      </c>
      <c r="G11" s="7">
        <v>0.5</v>
      </c>
      <c r="H11" s="10">
        <v>227</v>
      </c>
      <c r="I11" s="4">
        <f t="shared" si="0"/>
        <v>227</v>
      </c>
      <c r="J11" s="4">
        <f t="shared" si="1"/>
        <v>113.5</v>
      </c>
      <c r="K11" s="4">
        <f t="shared" si="2"/>
        <v>113.5</v>
      </c>
      <c r="L11">
        <v>1</v>
      </c>
      <c r="M11" t="s">
        <v>42</v>
      </c>
      <c r="N11" t="s">
        <v>45</v>
      </c>
      <c r="O11" t="s">
        <v>46</v>
      </c>
      <c r="P11">
        <v>98112</v>
      </c>
      <c r="Q11" t="s">
        <v>26</v>
      </c>
      <c r="R11" t="s">
        <v>48</v>
      </c>
      <c r="S11">
        <v>1</v>
      </c>
    </row>
    <row r="12" spans="1:22" x14ac:dyDescent="0.2">
      <c r="A12">
        <v>30</v>
      </c>
      <c r="B12" s="3">
        <v>45288</v>
      </c>
      <c r="C12">
        <v>2117</v>
      </c>
      <c r="D12">
        <v>5</v>
      </c>
      <c r="E12" t="s">
        <v>29</v>
      </c>
      <c r="F12" s="7">
        <v>3</v>
      </c>
      <c r="G12" s="7">
        <v>1.25</v>
      </c>
      <c r="H12" s="10">
        <v>152</v>
      </c>
      <c r="I12" s="4">
        <f t="shared" si="0"/>
        <v>456</v>
      </c>
      <c r="J12" s="4">
        <f t="shared" si="1"/>
        <v>190</v>
      </c>
      <c r="K12" s="4">
        <f t="shared" si="2"/>
        <v>266</v>
      </c>
      <c r="L12">
        <v>1</v>
      </c>
      <c r="M12" t="s">
        <v>42</v>
      </c>
      <c r="N12" t="s">
        <v>45</v>
      </c>
      <c r="O12" t="s">
        <v>46</v>
      </c>
      <c r="P12">
        <v>98112</v>
      </c>
      <c r="Q12" t="s">
        <v>26</v>
      </c>
      <c r="R12" t="s">
        <v>48</v>
      </c>
      <c r="S12">
        <v>1</v>
      </c>
    </row>
    <row r="13" spans="1:22" x14ac:dyDescent="0.2">
      <c r="A13">
        <v>30</v>
      </c>
      <c r="B13" s="3">
        <v>45289</v>
      </c>
      <c r="C13">
        <v>2117</v>
      </c>
      <c r="D13">
        <v>1</v>
      </c>
      <c r="E13" t="s">
        <v>18</v>
      </c>
      <c r="F13" s="7">
        <v>5</v>
      </c>
      <c r="G13" s="7">
        <v>2</v>
      </c>
      <c r="H13" s="10">
        <v>169</v>
      </c>
      <c r="I13" s="4">
        <f t="shared" si="0"/>
        <v>845</v>
      </c>
      <c r="J13" s="4">
        <f t="shared" si="1"/>
        <v>338</v>
      </c>
      <c r="K13" s="4">
        <f t="shared" si="2"/>
        <v>507</v>
      </c>
      <c r="L13">
        <v>1</v>
      </c>
      <c r="M13" t="s">
        <v>42</v>
      </c>
      <c r="N13" t="s">
        <v>45</v>
      </c>
      <c r="O13" t="s">
        <v>46</v>
      </c>
      <c r="P13">
        <v>98112</v>
      </c>
      <c r="Q13" t="s">
        <v>26</v>
      </c>
      <c r="R13" t="s">
        <v>48</v>
      </c>
      <c r="S13">
        <v>1</v>
      </c>
    </row>
    <row r="14" spans="1:22" x14ac:dyDescent="0.2">
      <c r="A14">
        <v>30</v>
      </c>
      <c r="B14" s="3">
        <v>45290</v>
      </c>
      <c r="C14">
        <v>2117</v>
      </c>
      <c r="D14">
        <v>4</v>
      </c>
      <c r="E14" t="s">
        <v>31</v>
      </c>
      <c r="F14" s="7">
        <v>4</v>
      </c>
      <c r="G14" s="7">
        <v>1.5</v>
      </c>
      <c r="H14" s="10">
        <v>204</v>
      </c>
      <c r="I14" s="4">
        <f t="shared" si="0"/>
        <v>816</v>
      </c>
      <c r="J14" s="4">
        <f t="shared" si="1"/>
        <v>306</v>
      </c>
      <c r="K14" s="4">
        <f t="shared" si="2"/>
        <v>510</v>
      </c>
      <c r="L14">
        <v>1</v>
      </c>
      <c r="M14" t="s">
        <v>42</v>
      </c>
      <c r="N14" t="s">
        <v>45</v>
      </c>
      <c r="O14" t="s">
        <v>46</v>
      </c>
      <c r="P14">
        <v>98112</v>
      </c>
      <c r="Q14" t="s">
        <v>26</v>
      </c>
      <c r="R14" t="s">
        <v>48</v>
      </c>
      <c r="S14">
        <v>1</v>
      </c>
    </row>
    <row r="15" spans="1:22" x14ac:dyDescent="0.2">
      <c r="A15">
        <v>38</v>
      </c>
      <c r="B15" s="3">
        <v>45310</v>
      </c>
      <c r="C15">
        <v>685</v>
      </c>
      <c r="D15">
        <v>1</v>
      </c>
      <c r="E15" t="s">
        <v>18</v>
      </c>
      <c r="F15" s="7">
        <v>5</v>
      </c>
      <c r="G15" s="7">
        <v>2</v>
      </c>
      <c r="H15" s="10">
        <v>137</v>
      </c>
      <c r="I15" s="4">
        <f t="shared" si="0"/>
        <v>685</v>
      </c>
      <c r="J15" s="4">
        <f t="shared" si="1"/>
        <v>274</v>
      </c>
      <c r="K15" s="4">
        <f t="shared" si="2"/>
        <v>411</v>
      </c>
      <c r="L15">
        <v>1</v>
      </c>
      <c r="M15" t="s">
        <v>42</v>
      </c>
      <c r="N15" t="s">
        <v>45</v>
      </c>
      <c r="O15" t="s">
        <v>46</v>
      </c>
      <c r="P15">
        <v>98112</v>
      </c>
      <c r="Q15" t="s">
        <v>26</v>
      </c>
      <c r="R15" t="s">
        <v>48</v>
      </c>
      <c r="S15">
        <v>1</v>
      </c>
    </row>
    <row r="16" spans="1:22" x14ac:dyDescent="0.2">
      <c r="A16">
        <v>40</v>
      </c>
      <c r="B16" s="3">
        <v>45313</v>
      </c>
      <c r="C16">
        <v>487</v>
      </c>
      <c r="D16">
        <v>4</v>
      </c>
      <c r="E16" t="s">
        <v>31</v>
      </c>
      <c r="F16" s="7">
        <v>4</v>
      </c>
      <c r="G16" s="7">
        <v>1.5</v>
      </c>
      <c r="H16" s="10">
        <v>13</v>
      </c>
      <c r="I16" s="4">
        <f t="shared" si="0"/>
        <v>52</v>
      </c>
      <c r="J16" s="4">
        <f t="shared" si="1"/>
        <v>19.5</v>
      </c>
      <c r="K16" s="4">
        <f t="shared" si="2"/>
        <v>32.5</v>
      </c>
      <c r="L16">
        <v>1</v>
      </c>
      <c r="M16" t="s">
        <v>42</v>
      </c>
      <c r="N16" t="s">
        <v>45</v>
      </c>
      <c r="O16" t="s">
        <v>46</v>
      </c>
      <c r="P16">
        <v>98112</v>
      </c>
      <c r="Q16" t="s">
        <v>26</v>
      </c>
      <c r="R16" t="s">
        <v>48</v>
      </c>
      <c r="S16">
        <v>1</v>
      </c>
    </row>
    <row r="17" spans="1:19" x14ac:dyDescent="0.2">
      <c r="A17">
        <v>40</v>
      </c>
      <c r="B17" s="3">
        <v>45314</v>
      </c>
      <c r="C17">
        <v>487</v>
      </c>
      <c r="D17">
        <v>3</v>
      </c>
      <c r="E17" t="s">
        <v>30</v>
      </c>
      <c r="F17" s="7">
        <v>5</v>
      </c>
      <c r="G17" s="7">
        <v>2.2000000000000002</v>
      </c>
      <c r="H17" s="10">
        <v>87</v>
      </c>
      <c r="I17" s="4">
        <f t="shared" si="0"/>
        <v>435</v>
      </c>
      <c r="J17" s="4">
        <f t="shared" si="1"/>
        <v>191.4</v>
      </c>
      <c r="K17" s="4">
        <f t="shared" si="2"/>
        <v>243.6</v>
      </c>
      <c r="L17">
        <v>1</v>
      </c>
      <c r="M17" t="s">
        <v>42</v>
      </c>
      <c r="N17" t="s">
        <v>45</v>
      </c>
      <c r="O17" t="s">
        <v>46</v>
      </c>
      <c r="P17">
        <v>98112</v>
      </c>
      <c r="Q17" t="s">
        <v>26</v>
      </c>
      <c r="R17" t="s">
        <v>48</v>
      </c>
      <c r="S17">
        <v>1</v>
      </c>
    </row>
    <row r="18" spans="1:19" x14ac:dyDescent="0.2">
      <c r="A18">
        <v>42</v>
      </c>
      <c r="B18" s="3">
        <v>45316</v>
      </c>
      <c r="C18">
        <v>1351</v>
      </c>
      <c r="D18">
        <v>2</v>
      </c>
      <c r="E18" t="s">
        <v>28</v>
      </c>
      <c r="F18" s="7">
        <v>1</v>
      </c>
      <c r="G18" s="7">
        <v>0.5</v>
      </c>
      <c r="H18" s="10">
        <v>123</v>
      </c>
      <c r="I18" s="4">
        <f t="shared" si="0"/>
        <v>123</v>
      </c>
      <c r="J18" s="4">
        <f t="shared" si="1"/>
        <v>61.5</v>
      </c>
      <c r="K18" s="4">
        <f t="shared" si="2"/>
        <v>61.5</v>
      </c>
      <c r="L18">
        <v>1</v>
      </c>
      <c r="M18" t="s">
        <v>42</v>
      </c>
      <c r="N18" t="s">
        <v>45</v>
      </c>
      <c r="O18" t="s">
        <v>46</v>
      </c>
      <c r="P18">
        <v>98112</v>
      </c>
      <c r="Q18" t="s">
        <v>26</v>
      </c>
      <c r="R18" t="s">
        <v>48</v>
      </c>
      <c r="S18">
        <v>1</v>
      </c>
    </row>
    <row r="19" spans="1:19" x14ac:dyDescent="0.2">
      <c r="A19">
        <v>42</v>
      </c>
      <c r="B19" s="3">
        <v>45317</v>
      </c>
      <c r="C19">
        <v>1351</v>
      </c>
      <c r="D19">
        <v>4</v>
      </c>
      <c r="E19" t="s">
        <v>31</v>
      </c>
      <c r="F19" s="7">
        <v>4</v>
      </c>
      <c r="G19" s="7">
        <v>1.5</v>
      </c>
      <c r="H19" s="10">
        <v>217</v>
      </c>
      <c r="I19" s="4">
        <f t="shared" si="0"/>
        <v>868</v>
      </c>
      <c r="J19" s="4">
        <f t="shared" si="1"/>
        <v>325.5</v>
      </c>
      <c r="K19" s="4">
        <f t="shared" si="2"/>
        <v>542.5</v>
      </c>
      <c r="L19">
        <v>1</v>
      </c>
      <c r="M19" t="s">
        <v>42</v>
      </c>
      <c r="N19" t="s">
        <v>45</v>
      </c>
      <c r="O19" t="s">
        <v>46</v>
      </c>
      <c r="P19">
        <v>98112</v>
      </c>
      <c r="Q19" t="s">
        <v>26</v>
      </c>
      <c r="R19" t="s">
        <v>48</v>
      </c>
      <c r="S19">
        <v>1</v>
      </c>
    </row>
    <row r="20" spans="1:19" x14ac:dyDescent="0.2">
      <c r="A20">
        <v>42</v>
      </c>
      <c r="B20" s="3">
        <v>45318</v>
      </c>
      <c r="C20">
        <v>1351</v>
      </c>
      <c r="D20">
        <v>5</v>
      </c>
      <c r="E20" t="s">
        <v>29</v>
      </c>
      <c r="F20" s="7">
        <v>3</v>
      </c>
      <c r="G20" s="7">
        <v>1.25</v>
      </c>
      <c r="H20" s="10">
        <v>120</v>
      </c>
      <c r="I20" s="4">
        <f t="shared" si="0"/>
        <v>360</v>
      </c>
      <c r="J20" s="4">
        <f t="shared" si="1"/>
        <v>150</v>
      </c>
      <c r="K20" s="4">
        <f t="shared" si="2"/>
        <v>210</v>
      </c>
      <c r="L20">
        <v>1</v>
      </c>
      <c r="M20" t="s">
        <v>42</v>
      </c>
      <c r="N20" t="s">
        <v>45</v>
      </c>
      <c r="O20" t="s">
        <v>46</v>
      </c>
      <c r="P20">
        <v>98112</v>
      </c>
      <c r="Q20" t="s">
        <v>26</v>
      </c>
      <c r="R20" t="s">
        <v>48</v>
      </c>
      <c r="S20">
        <v>1</v>
      </c>
    </row>
    <row r="21" spans="1:19" x14ac:dyDescent="0.2">
      <c r="A21">
        <v>49</v>
      </c>
      <c r="B21" s="3">
        <v>45336</v>
      </c>
      <c r="C21">
        <v>588</v>
      </c>
      <c r="D21">
        <v>4</v>
      </c>
      <c r="E21" t="s">
        <v>31</v>
      </c>
      <c r="F21" s="7">
        <v>4</v>
      </c>
      <c r="G21" s="7">
        <v>1.5</v>
      </c>
      <c r="H21" s="10">
        <v>147</v>
      </c>
      <c r="I21" s="4">
        <f t="shared" si="0"/>
        <v>588</v>
      </c>
      <c r="J21" s="4">
        <f t="shared" si="1"/>
        <v>220.5</v>
      </c>
      <c r="K21" s="4">
        <f t="shared" si="2"/>
        <v>367.5</v>
      </c>
      <c r="L21">
        <v>1</v>
      </c>
      <c r="M21" t="s">
        <v>42</v>
      </c>
      <c r="N21" t="s">
        <v>45</v>
      </c>
      <c r="O21" t="s">
        <v>46</v>
      </c>
      <c r="P21">
        <v>98112</v>
      </c>
      <c r="Q21" t="s">
        <v>26</v>
      </c>
      <c r="R21" t="s">
        <v>48</v>
      </c>
      <c r="S21">
        <v>1</v>
      </c>
    </row>
    <row r="22" spans="1:19" x14ac:dyDescent="0.2">
      <c r="A22">
        <v>3</v>
      </c>
      <c r="B22" s="3">
        <v>45212</v>
      </c>
      <c r="C22">
        <v>2238</v>
      </c>
      <c r="D22">
        <v>1</v>
      </c>
      <c r="E22" t="s">
        <v>18</v>
      </c>
      <c r="F22" s="7">
        <v>5</v>
      </c>
      <c r="G22" s="7">
        <v>2</v>
      </c>
      <c r="H22" s="10">
        <v>82</v>
      </c>
      <c r="I22" s="4">
        <f t="shared" si="0"/>
        <v>410</v>
      </c>
      <c r="J22" s="4">
        <f t="shared" si="1"/>
        <v>164</v>
      </c>
      <c r="K22" s="4">
        <f t="shared" si="2"/>
        <v>246</v>
      </c>
      <c r="L22">
        <v>2</v>
      </c>
      <c r="M22" t="s">
        <v>34</v>
      </c>
      <c r="N22" t="s">
        <v>37</v>
      </c>
      <c r="O22" t="s">
        <v>38</v>
      </c>
      <c r="P22">
        <v>84113</v>
      </c>
      <c r="Q22" t="s">
        <v>26</v>
      </c>
      <c r="R22" t="s">
        <v>40</v>
      </c>
      <c r="S22">
        <v>2</v>
      </c>
    </row>
    <row r="23" spans="1:19" x14ac:dyDescent="0.2">
      <c r="A23">
        <v>3</v>
      </c>
      <c r="B23" s="3">
        <v>45213</v>
      </c>
      <c r="C23">
        <v>2238</v>
      </c>
      <c r="D23">
        <v>5</v>
      </c>
      <c r="E23" t="s">
        <v>29</v>
      </c>
      <c r="F23" s="7">
        <v>3</v>
      </c>
      <c r="G23" s="7">
        <v>1.25</v>
      </c>
      <c r="H23" s="10">
        <v>180</v>
      </c>
      <c r="I23" s="4">
        <f t="shared" si="0"/>
        <v>540</v>
      </c>
      <c r="J23" s="4">
        <f t="shared" si="1"/>
        <v>225</v>
      </c>
      <c r="K23" s="4">
        <f t="shared" si="2"/>
        <v>315</v>
      </c>
      <c r="L23">
        <v>2</v>
      </c>
      <c r="M23" t="s">
        <v>34</v>
      </c>
      <c r="N23" t="s">
        <v>37</v>
      </c>
      <c r="O23" t="s">
        <v>38</v>
      </c>
      <c r="P23">
        <v>84113</v>
      </c>
      <c r="Q23" t="s">
        <v>26</v>
      </c>
      <c r="R23" t="s">
        <v>40</v>
      </c>
      <c r="S23">
        <v>2</v>
      </c>
    </row>
    <row r="24" spans="1:19" x14ac:dyDescent="0.2">
      <c r="A24">
        <v>3</v>
      </c>
      <c r="B24" s="3">
        <v>45214</v>
      </c>
      <c r="C24">
        <v>2238</v>
      </c>
      <c r="D24">
        <v>6</v>
      </c>
      <c r="E24" t="s">
        <v>32</v>
      </c>
      <c r="F24" s="7">
        <v>6</v>
      </c>
      <c r="G24" s="7">
        <v>2.75</v>
      </c>
      <c r="H24" s="10">
        <v>18</v>
      </c>
      <c r="I24" s="4">
        <f t="shared" si="0"/>
        <v>108</v>
      </c>
      <c r="J24" s="4">
        <f t="shared" si="1"/>
        <v>49.5</v>
      </c>
      <c r="K24" s="4">
        <f t="shared" si="2"/>
        <v>58.5</v>
      </c>
      <c r="L24">
        <v>2</v>
      </c>
      <c r="M24" t="s">
        <v>34</v>
      </c>
      <c r="N24" t="s">
        <v>37</v>
      </c>
      <c r="O24" t="s">
        <v>38</v>
      </c>
      <c r="P24">
        <v>84113</v>
      </c>
      <c r="Q24" t="s">
        <v>26</v>
      </c>
      <c r="R24" t="s">
        <v>40</v>
      </c>
      <c r="S24">
        <v>2</v>
      </c>
    </row>
    <row r="25" spans="1:19" x14ac:dyDescent="0.2">
      <c r="A25">
        <v>3</v>
      </c>
      <c r="B25" s="3">
        <v>45215</v>
      </c>
      <c r="C25">
        <v>2238</v>
      </c>
      <c r="D25">
        <v>3</v>
      </c>
      <c r="E25" t="s">
        <v>30</v>
      </c>
      <c r="F25" s="7">
        <v>5</v>
      </c>
      <c r="G25" s="7">
        <v>2.2000000000000002</v>
      </c>
      <c r="H25" s="10">
        <v>202</v>
      </c>
      <c r="I25" s="4">
        <f t="shared" si="0"/>
        <v>1010</v>
      </c>
      <c r="J25" s="4">
        <f t="shared" si="1"/>
        <v>444.40000000000003</v>
      </c>
      <c r="K25" s="4">
        <f t="shared" si="2"/>
        <v>565.59999999999991</v>
      </c>
      <c r="L25">
        <v>2</v>
      </c>
      <c r="M25" t="s">
        <v>34</v>
      </c>
      <c r="N25" t="s">
        <v>37</v>
      </c>
      <c r="O25" t="s">
        <v>38</v>
      </c>
      <c r="P25">
        <v>84113</v>
      </c>
      <c r="Q25" t="s">
        <v>26</v>
      </c>
      <c r="R25" t="s">
        <v>40</v>
      </c>
      <c r="S25">
        <v>2</v>
      </c>
    </row>
    <row r="26" spans="1:19" x14ac:dyDescent="0.2">
      <c r="A26">
        <v>3</v>
      </c>
      <c r="B26" s="3">
        <v>45216</v>
      </c>
      <c r="C26">
        <v>2238</v>
      </c>
      <c r="D26">
        <v>2</v>
      </c>
      <c r="E26" t="s">
        <v>28</v>
      </c>
      <c r="F26" s="7">
        <v>1</v>
      </c>
      <c r="G26" s="7">
        <v>0.5</v>
      </c>
      <c r="H26" s="10">
        <v>170</v>
      </c>
      <c r="I26" s="4">
        <f t="shared" si="0"/>
        <v>170</v>
      </c>
      <c r="J26" s="4">
        <f t="shared" si="1"/>
        <v>85</v>
      </c>
      <c r="K26" s="4">
        <f t="shared" si="2"/>
        <v>85</v>
      </c>
      <c r="L26">
        <v>2</v>
      </c>
      <c r="M26" t="s">
        <v>34</v>
      </c>
      <c r="N26" t="s">
        <v>37</v>
      </c>
      <c r="O26" t="s">
        <v>38</v>
      </c>
      <c r="P26">
        <v>84113</v>
      </c>
      <c r="Q26" t="s">
        <v>26</v>
      </c>
      <c r="R26" t="s">
        <v>40</v>
      </c>
      <c r="S26">
        <v>2</v>
      </c>
    </row>
    <row r="27" spans="1:19" x14ac:dyDescent="0.2">
      <c r="A27">
        <v>3</v>
      </c>
      <c r="B27" s="3">
        <v>45214</v>
      </c>
      <c r="C27">
        <v>2238</v>
      </c>
      <c r="D27">
        <v>6</v>
      </c>
      <c r="E27" t="s">
        <v>32</v>
      </c>
      <c r="F27" s="7">
        <v>6</v>
      </c>
      <c r="G27" s="7">
        <v>2.75</v>
      </c>
      <c r="H27" s="10">
        <v>18</v>
      </c>
      <c r="I27" s="4">
        <f t="shared" si="0"/>
        <v>108</v>
      </c>
      <c r="J27" s="4">
        <f t="shared" si="1"/>
        <v>49.5</v>
      </c>
      <c r="K27" s="4">
        <f t="shared" si="2"/>
        <v>58.5</v>
      </c>
      <c r="L27">
        <v>2</v>
      </c>
      <c r="M27" t="s">
        <v>34</v>
      </c>
      <c r="N27" t="s">
        <v>37</v>
      </c>
      <c r="O27" t="s">
        <v>38</v>
      </c>
      <c r="P27">
        <v>84113</v>
      </c>
      <c r="Q27" t="s">
        <v>26</v>
      </c>
      <c r="R27" t="s">
        <v>40</v>
      </c>
      <c r="S27">
        <v>2</v>
      </c>
    </row>
    <row r="28" spans="1:19" x14ac:dyDescent="0.2">
      <c r="A28">
        <v>3</v>
      </c>
      <c r="B28" s="3">
        <v>45215</v>
      </c>
      <c r="C28">
        <v>2238</v>
      </c>
      <c r="D28">
        <v>3</v>
      </c>
      <c r="E28" t="s">
        <v>30</v>
      </c>
      <c r="F28" s="7">
        <v>5</v>
      </c>
      <c r="G28" s="7">
        <v>2.2000000000000002</v>
      </c>
      <c r="H28" s="10">
        <v>202</v>
      </c>
      <c r="I28" s="4">
        <f t="shared" si="0"/>
        <v>1010</v>
      </c>
      <c r="J28" s="4">
        <f t="shared" si="1"/>
        <v>444.40000000000003</v>
      </c>
      <c r="K28" s="4">
        <f t="shared" si="2"/>
        <v>565.59999999999991</v>
      </c>
      <c r="L28">
        <v>2</v>
      </c>
      <c r="M28" t="s">
        <v>34</v>
      </c>
      <c r="N28" t="s">
        <v>37</v>
      </c>
      <c r="O28" t="s">
        <v>38</v>
      </c>
      <c r="P28">
        <v>84113</v>
      </c>
      <c r="Q28" t="s">
        <v>26</v>
      </c>
      <c r="R28" t="s">
        <v>40</v>
      </c>
      <c r="S28">
        <v>2</v>
      </c>
    </row>
    <row r="29" spans="1:19" x14ac:dyDescent="0.2">
      <c r="A29">
        <v>9</v>
      </c>
      <c r="B29" s="3">
        <v>45233</v>
      </c>
      <c r="C29">
        <v>1982</v>
      </c>
      <c r="D29">
        <v>2</v>
      </c>
      <c r="E29" t="s">
        <v>28</v>
      </c>
      <c r="F29" s="7">
        <v>1</v>
      </c>
      <c r="G29" s="7">
        <v>0.5</v>
      </c>
      <c r="H29" s="10">
        <v>226</v>
      </c>
      <c r="I29" s="4">
        <f t="shared" si="0"/>
        <v>226</v>
      </c>
      <c r="J29" s="4">
        <f t="shared" si="1"/>
        <v>113</v>
      </c>
      <c r="K29" s="4">
        <f t="shared" si="2"/>
        <v>113</v>
      </c>
      <c r="L29">
        <v>2</v>
      </c>
      <c r="M29" t="s">
        <v>34</v>
      </c>
      <c r="N29" t="s">
        <v>37</v>
      </c>
      <c r="O29" t="s">
        <v>38</v>
      </c>
      <c r="P29">
        <v>84113</v>
      </c>
      <c r="Q29" t="s">
        <v>26</v>
      </c>
      <c r="R29" t="s">
        <v>40</v>
      </c>
      <c r="S29">
        <v>2</v>
      </c>
    </row>
    <row r="30" spans="1:19" x14ac:dyDescent="0.2">
      <c r="A30">
        <v>9</v>
      </c>
      <c r="B30" s="3">
        <v>45234</v>
      </c>
      <c r="C30">
        <v>1982</v>
      </c>
      <c r="D30">
        <v>4</v>
      </c>
      <c r="E30" t="s">
        <v>31</v>
      </c>
      <c r="F30" s="7">
        <v>4</v>
      </c>
      <c r="G30" s="7">
        <v>1.5</v>
      </c>
      <c r="H30" s="10">
        <v>99</v>
      </c>
      <c r="I30" s="4">
        <f t="shared" si="0"/>
        <v>396</v>
      </c>
      <c r="J30" s="4">
        <f t="shared" si="1"/>
        <v>148.5</v>
      </c>
      <c r="K30" s="4">
        <f t="shared" si="2"/>
        <v>247.5</v>
      </c>
      <c r="L30">
        <v>2</v>
      </c>
      <c r="M30" t="s">
        <v>34</v>
      </c>
      <c r="N30" t="s">
        <v>37</v>
      </c>
      <c r="O30" t="s">
        <v>38</v>
      </c>
      <c r="P30">
        <v>84113</v>
      </c>
      <c r="Q30" t="s">
        <v>26</v>
      </c>
      <c r="R30" t="s">
        <v>40</v>
      </c>
      <c r="S30">
        <v>2</v>
      </c>
    </row>
    <row r="31" spans="1:19" x14ac:dyDescent="0.2">
      <c r="A31">
        <v>9</v>
      </c>
      <c r="B31" s="3">
        <v>45235</v>
      </c>
      <c r="C31">
        <v>1982</v>
      </c>
      <c r="D31">
        <v>1</v>
      </c>
      <c r="E31" t="s">
        <v>18</v>
      </c>
      <c r="F31" s="7">
        <v>5</v>
      </c>
      <c r="G31" s="7">
        <v>2</v>
      </c>
      <c r="H31" s="10">
        <v>119</v>
      </c>
      <c r="I31" s="4">
        <f t="shared" si="0"/>
        <v>595</v>
      </c>
      <c r="J31" s="4">
        <f t="shared" si="1"/>
        <v>238</v>
      </c>
      <c r="K31" s="4">
        <f t="shared" si="2"/>
        <v>357</v>
      </c>
      <c r="L31">
        <v>2</v>
      </c>
      <c r="M31" t="s">
        <v>34</v>
      </c>
      <c r="N31" t="s">
        <v>37</v>
      </c>
      <c r="O31" t="s">
        <v>38</v>
      </c>
      <c r="P31">
        <v>84113</v>
      </c>
      <c r="Q31" t="s">
        <v>26</v>
      </c>
      <c r="R31" t="s">
        <v>40</v>
      </c>
      <c r="S31">
        <v>2</v>
      </c>
    </row>
    <row r="32" spans="1:19" x14ac:dyDescent="0.2">
      <c r="A32">
        <v>9</v>
      </c>
      <c r="B32" s="3">
        <v>45236</v>
      </c>
      <c r="C32">
        <v>1982</v>
      </c>
      <c r="D32">
        <v>3</v>
      </c>
      <c r="E32" t="s">
        <v>30</v>
      </c>
      <c r="F32" s="7">
        <v>5</v>
      </c>
      <c r="G32" s="7">
        <v>2.2000000000000002</v>
      </c>
      <c r="H32" s="10">
        <v>153</v>
      </c>
      <c r="I32" s="4">
        <f t="shared" si="0"/>
        <v>765</v>
      </c>
      <c r="J32" s="4">
        <f t="shared" si="1"/>
        <v>336.6</v>
      </c>
      <c r="K32" s="4">
        <f t="shared" si="2"/>
        <v>428.4</v>
      </c>
      <c r="L32">
        <v>2</v>
      </c>
      <c r="M32" t="s">
        <v>34</v>
      </c>
      <c r="N32" t="s">
        <v>37</v>
      </c>
      <c r="O32" t="s">
        <v>38</v>
      </c>
      <c r="P32">
        <v>84113</v>
      </c>
      <c r="Q32" t="s">
        <v>26</v>
      </c>
      <c r="R32" t="s">
        <v>40</v>
      </c>
      <c r="S32">
        <v>2</v>
      </c>
    </row>
    <row r="33" spans="1:19" x14ac:dyDescent="0.2">
      <c r="A33">
        <v>16</v>
      </c>
      <c r="B33" s="3">
        <v>45256</v>
      </c>
      <c r="C33">
        <v>998</v>
      </c>
      <c r="D33">
        <v>6</v>
      </c>
      <c r="E33" t="s">
        <v>32</v>
      </c>
      <c r="F33" s="7">
        <v>6</v>
      </c>
      <c r="G33" s="7">
        <v>2.75</v>
      </c>
      <c r="H33" s="10">
        <v>129</v>
      </c>
      <c r="I33" s="4">
        <f t="shared" si="0"/>
        <v>774</v>
      </c>
      <c r="J33" s="4">
        <f t="shared" si="1"/>
        <v>354.75</v>
      </c>
      <c r="K33" s="4">
        <f t="shared" si="2"/>
        <v>419.25</v>
      </c>
      <c r="L33">
        <v>2</v>
      </c>
      <c r="M33" t="s">
        <v>34</v>
      </c>
      <c r="N33" t="s">
        <v>37</v>
      </c>
      <c r="O33" t="s">
        <v>38</v>
      </c>
      <c r="P33">
        <v>84113</v>
      </c>
      <c r="Q33" t="s">
        <v>26</v>
      </c>
      <c r="R33" t="s">
        <v>40</v>
      </c>
      <c r="S33">
        <v>2</v>
      </c>
    </row>
    <row r="34" spans="1:19" x14ac:dyDescent="0.2">
      <c r="A34">
        <v>16</v>
      </c>
      <c r="B34" s="3">
        <v>45257</v>
      </c>
      <c r="C34">
        <v>998</v>
      </c>
      <c r="D34">
        <v>4</v>
      </c>
      <c r="E34" t="s">
        <v>31</v>
      </c>
      <c r="F34" s="7">
        <v>4</v>
      </c>
      <c r="G34" s="7">
        <v>1.5</v>
      </c>
      <c r="H34" s="10">
        <v>56</v>
      </c>
      <c r="I34" s="4">
        <f t="shared" si="0"/>
        <v>224</v>
      </c>
      <c r="J34" s="4">
        <f t="shared" si="1"/>
        <v>84</v>
      </c>
      <c r="K34" s="4">
        <f t="shared" si="2"/>
        <v>140</v>
      </c>
      <c r="L34">
        <v>2</v>
      </c>
      <c r="M34" t="s">
        <v>34</v>
      </c>
      <c r="N34" t="s">
        <v>37</v>
      </c>
      <c r="O34" t="s">
        <v>38</v>
      </c>
      <c r="P34">
        <v>84113</v>
      </c>
      <c r="Q34" t="s">
        <v>26</v>
      </c>
      <c r="R34" t="s">
        <v>40</v>
      </c>
      <c r="S34">
        <v>2</v>
      </c>
    </row>
    <row r="35" spans="1:19" x14ac:dyDescent="0.2">
      <c r="A35">
        <v>19</v>
      </c>
      <c r="B35" s="3">
        <v>45261</v>
      </c>
      <c r="C35">
        <v>1410</v>
      </c>
      <c r="D35">
        <v>6</v>
      </c>
      <c r="E35" t="s">
        <v>32</v>
      </c>
      <c r="F35" s="7">
        <v>6</v>
      </c>
      <c r="G35" s="7">
        <v>2.75</v>
      </c>
      <c r="H35" s="10">
        <v>235</v>
      </c>
      <c r="I35" s="4">
        <f t="shared" si="0"/>
        <v>1410</v>
      </c>
      <c r="J35" s="4">
        <f t="shared" si="1"/>
        <v>646.25</v>
      </c>
      <c r="K35" s="4">
        <f t="shared" si="2"/>
        <v>763.75</v>
      </c>
      <c r="L35">
        <v>2</v>
      </c>
      <c r="M35" t="s">
        <v>34</v>
      </c>
      <c r="N35" t="s">
        <v>37</v>
      </c>
      <c r="O35" t="s">
        <v>38</v>
      </c>
      <c r="P35">
        <v>84113</v>
      </c>
      <c r="Q35" t="s">
        <v>26</v>
      </c>
      <c r="R35" t="s">
        <v>40</v>
      </c>
      <c r="S35">
        <v>2</v>
      </c>
    </row>
    <row r="36" spans="1:19" x14ac:dyDescent="0.2">
      <c r="A36">
        <v>20</v>
      </c>
      <c r="B36" s="3">
        <v>45262</v>
      </c>
      <c r="C36">
        <v>1955</v>
      </c>
      <c r="D36">
        <v>3</v>
      </c>
      <c r="E36" t="s">
        <v>30</v>
      </c>
      <c r="F36" s="7">
        <v>5</v>
      </c>
      <c r="G36" s="7">
        <v>2.2000000000000002</v>
      </c>
      <c r="H36" s="10">
        <v>147</v>
      </c>
      <c r="I36" s="4">
        <f t="shared" si="0"/>
        <v>735</v>
      </c>
      <c r="J36" s="4">
        <f t="shared" si="1"/>
        <v>323.40000000000003</v>
      </c>
      <c r="K36" s="4">
        <f t="shared" si="2"/>
        <v>411.59999999999997</v>
      </c>
      <c r="L36">
        <v>2</v>
      </c>
      <c r="M36" t="s">
        <v>34</v>
      </c>
      <c r="N36" t="s">
        <v>37</v>
      </c>
      <c r="O36" t="s">
        <v>38</v>
      </c>
      <c r="P36">
        <v>84113</v>
      </c>
      <c r="Q36" t="s">
        <v>26</v>
      </c>
      <c r="R36" t="s">
        <v>40</v>
      </c>
      <c r="S36">
        <v>2</v>
      </c>
    </row>
    <row r="37" spans="1:19" x14ac:dyDescent="0.2">
      <c r="A37">
        <v>20</v>
      </c>
      <c r="B37" s="3">
        <v>45263</v>
      </c>
      <c r="C37">
        <v>1955</v>
      </c>
      <c r="D37">
        <v>1</v>
      </c>
      <c r="E37" t="s">
        <v>18</v>
      </c>
      <c r="F37" s="7">
        <v>5</v>
      </c>
      <c r="G37" s="7">
        <v>2</v>
      </c>
      <c r="H37" s="10">
        <v>244</v>
      </c>
      <c r="I37" s="4">
        <f t="shared" si="0"/>
        <v>1220</v>
      </c>
      <c r="J37" s="4">
        <f t="shared" si="1"/>
        <v>488</v>
      </c>
      <c r="K37" s="4">
        <f t="shared" si="2"/>
        <v>732</v>
      </c>
      <c r="L37">
        <v>2</v>
      </c>
      <c r="M37" t="s">
        <v>34</v>
      </c>
      <c r="N37" t="s">
        <v>37</v>
      </c>
      <c r="O37" t="s">
        <v>38</v>
      </c>
      <c r="P37">
        <v>84113</v>
      </c>
      <c r="Q37" t="s">
        <v>26</v>
      </c>
      <c r="R37" t="s">
        <v>40</v>
      </c>
      <c r="S37">
        <v>2</v>
      </c>
    </row>
    <row r="38" spans="1:19" x14ac:dyDescent="0.2">
      <c r="A38">
        <v>23</v>
      </c>
      <c r="B38" s="3">
        <v>45268</v>
      </c>
      <c r="C38">
        <v>1776</v>
      </c>
      <c r="D38">
        <v>1</v>
      </c>
      <c r="E38" t="s">
        <v>18</v>
      </c>
      <c r="F38" s="7">
        <v>5</v>
      </c>
      <c r="G38" s="7">
        <v>2</v>
      </c>
      <c r="H38" s="10">
        <v>132</v>
      </c>
      <c r="I38" s="4">
        <f t="shared" si="0"/>
        <v>660</v>
      </c>
      <c r="J38" s="4">
        <f t="shared" si="1"/>
        <v>264</v>
      </c>
      <c r="K38" s="4">
        <f t="shared" si="2"/>
        <v>396</v>
      </c>
      <c r="L38">
        <v>2</v>
      </c>
      <c r="M38" t="s">
        <v>34</v>
      </c>
      <c r="N38" t="s">
        <v>37</v>
      </c>
      <c r="O38" t="s">
        <v>38</v>
      </c>
      <c r="P38">
        <v>84113</v>
      </c>
      <c r="Q38" t="s">
        <v>26</v>
      </c>
      <c r="R38" t="s">
        <v>40</v>
      </c>
      <c r="S38">
        <v>2</v>
      </c>
    </row>
    <row r="39" spans="1:19" x14ac:dyDescent="0.2">
      <c r="A39">
        <v>23</v>
      </c>
      <c r="B39" s="3">
        <v>45269</v>
      </c>
      <c r="C39">
        <v>1776</v>
      </c>
      <c r="D39">
        <v>4</v>
      </c>
      <c r="E39" t="s">
        <v>31</v>
      </c>
      <c r="F39" s="7">
        <v>4</v>
      </c>
      <c r="G39" s="7">
        <v>1.5</v>
      </c>
      <c r="H39" s="10">
        <v>27</v>
      </c>
      <c r="I39" s="4">
        <f t="shared" si="0"/>
        <v>108</v>
      </c>
      <c r="J39" s="4">
        <f t="shared" si="1"/>
        <v>40.5</v>
      </c>
      <c r="K39" s="4">
        <f t="shared" si="2"/>
        <v>67.5</v>
      </c>
      <c r="L39">
        <v>2</v>
      </c>
      <c r="M39" t="s">
        <v>34</v>
      </c>
      <c r="N39" t="s">
        <v>37</v>
      </c>
      <c r="O39" t="s">
        <v>38</v>
      </c>
      <c r="P39">
        <v>84113</v>
      </c>
      <c r="Q39" t="s">
        <v>26</v>
      </c>
      <c r="R39" t="s">
        <v>40</v>
      </c>
      <c r="S39">
        <v>2</v>
      </c>
    </row>
    <row r="40" spans="1:19" x14ac:dyDescent="0.2">
      <c r="A40">
        <v>23</v>
      </c>
      <c r="B40" s="3">
        <v>45270</v>
      </c>
      <c r="C40">
        <v>1776</v>
      </c>
      <c r="D40">
        <v>6</v>
      </c>
      <c r="E40" t="s">
        <v>32</v>
      </c>
      <c r="F40" s="7">
        <v>6</v>
      </c>
      <c r="G40" s="7">
        <v>2.75</v>
      </c>
      <c r="H40" s="10">
        <v>168</v>
      </c>
      <c r="I40" s="4">
        <f t="shared" si="0"/>
        <v>1008</v>
      </c>
      <c r="J40" s="4">
        <f t="shared" si="1"/>
        <v>462</v>
      </c>
      <c r="K40" s="4">
        <f t="shared" si="2"/>
        <v>546</v>
      </c>
      <c r="L40">
        <v>2</v>
      </c>
      <c r="M40" t="s">
        <v>34</v>
      </c>
      <c r="N40" t="s">
        <v>37</v>
      </c>
      <c r="O40" t="s">
        <v>38</v>
      </c>
      <c r="P40">
        <v>84113</v>
      </c>
      <c r="Q40" t="s">
        <v>26</v>
      </c>
      <c r="R40" t="s">
        <v>40</v>
      </c>
      <c r="S40">
        <v>2</v>
      </c>
    </row>
    <row r="41" spans="1:19" x14ac:dyDescent="0.2">
      <c r="A41">
        <v>31</v>
      </c>
      <c r="B41" s="3">
        <v>45291</v>
      </c>
      <c r="C41">
        <v>1900</v>
      </c>
      <c r="D41">
        <v>1</v>
      </c>
      <c r="E41" t="s">
        <v>18</v>
      </c>
      <c r="F41" s="7">
        <v>5</v>
      </c>
      <c r="G41" s="7">
        <v>2</v>
      </c>
      <c r="H41" s="10">
        <v>151</v>
      </c>
      <c r="I41" s="4">
        <f t="shared" si="0"/>
        <v>755</v>
      </c>
      <c r="J41" s="4">
        <f t="shared" si="1"/>
        <v>302</v>
      </c>
      <c r="K41" s="4">
        <f t="shared" si="2"/>
        <v>453</v>
      </c>
      <c r="L41">
        <v>2</v>
      </c>
      <c r="M41" t="s">
        <v>34</v>
      </c>
      <c r="N41" t="s">
        <v>37</v>
      </c>
      <c r="O41" t="s">
        <v>38</v>
      </c>
      <c r="P41">
        <v>84113</v>
      </c>
      <c r="Q41" t="s">
        <v>26</v>
      </c>
      <c r="R41" t="s">
        <v>40</v>
      </c>
      <c r="S41">
        <v>2</v>
      </c>
    </row>
    <row r="42" spans="1:19" x14ac:dyDescent="0.2">
      <c r="A42">
        <v>31</v>
      </c>
      <c r="B42" s="3">
        <v>45292</v>
      </c>
      <c r="C42">
        <v>1900</v>
      </c>
      <c r="D42">
        <v>3</v>
      </c>
      <c r="E42" t="s">
        <v>30</v>
      </c>
      <c r="F42" s="7">
        <v>5</v>
      </c>
      <c r="G42" s="7">
        <v>2.2000000000000002</v>
      </c>
      <c r="H42" s="10">
        <v>229</v>
      </c>
      <c r="I42" s="4">
        <f t="shared" si="0"/>
        <v>1145</v>
      </c>
      <c r="J42" s="4">
        <f t="shared" si="1"/>
        <v>503.80000000000007</v>
      </c>
      <c r="K42" s="4">
        <f t="shared" si="2"/>
        <v>641.19999999999993</v>
      </c>
      <c r="L42">
        <v>2</v>
      </c>
      <c r="M42" t="s">
        <v>34</v>
      </c>
      <c r="N42" t="s">
        <v>37</v>
      </c>
      <c r="O42" t="s">
        <v>38</v>
      </c>
      <c r="P42">
        <v>84113</v>
      </c>
      <c r="Q42" t="s">
        <v>26</v>
      </c>
      <c r="R42" t="s">
        <v>40</v>
      </c>
      <c r="S42">
        <v>2</v>
      </c>
    </row>
    <row r="43" spans="1:19" x14ac:dyDescent="0.2">
      <c r="A43">
        <v>34</v>
      </c>
      <c r="B43" s="3">
        <v>45300</v>
      </c>
      <c r="C43">
        <v>1196</v>
      </c>
      <c r="D43">
        <v>2</v>
      </c>
      <c r="E43" t="s">
        <v>28</v>
      </c>
      <c r="F43" s="7">
        <v>1</v>
      </c>
      <c r="G43" s="7">
        <v>0.5</v>
      </c>
      <c r="H43" s="10">
        <v>196</v>
      </c>
      <c r="I43" s="4">
        <f t="shared" si="0"/>
        <v>196</v>
      </c>
      <c r="J43" s="4">
        <f t="shared" si="1"/>
        <v>98</v>
      </c>
      <c r="K43" s="4">
        <f t="shared" si="2"/>
        <v>98</v>
      </c>
      <c r="L43">
        <v>2</v>
      </c>
      <c r="M43" t="s">
        <v>34</v>
      </c>
      <c r="N43" t="s">
        <v>37</v>
      </c>
      <c r="O43" t="s">
        <v>38</v>
      </c>
      <c r="P43">
        <v>84113</v>
      </c>
      <c r="Q43" t="s">
        <v>26</v>
      </c>
      <c r="R43" t="s">
        <v>40</v>
      </c>
      <c r="S43">
        <v>2</v>
      </c>
    </row>
    <row r="44" spans="1:19" x14ac:dyDescent="0.2">
      <c r="A44">
        <v>34</v>
      </c>
      <c r="B44" s="3">
        <v>45301</v>
      </c>
      <c r="C44">
        <v>1196</v>
      </c>
      <c r="D44">
        <v>1</v>
      </c>
      <c r="E44" t="s">
        <v>18</v>
      </c>
      <c r="F44" s="7">
        <v>5</v>
      </c>
      <c r="G44" s="7">
        <v>2</v>
      </c>
      <c r="H44" s="10">
        <v>200</v>
      </c>
      <c r="I44" s="4">
        <f t="shared" si="0"/>
        <v>1000</v>
      </c>
      <c r="J44" s="4">
        <f t="shared" si="1"/>
        <v>400</v>
      </c>
      <c r="K44" s="4">
        <f t="shared" si="2"/>
        <v>600</v>
      </c>
      <c r="L44">
        <v>2</v>
      </c>
      <c r="M44" t="s">
        <v>34</v>
      </c>
      <c r="N44" t="s">
        <v>37</v>
      </c>
      <c r="O44" t="s">
        <v>38</v>
      </c>
      <c r="P44">
        <v>84113</v>
      </c>
      <c r="Q44" t="s">
        <v>26</v>
      </c>
      <c r="R44" t="s">
        <v>40</v>
      </c>
      <c r="S44">
        <v>2</v>
      </c>
    </row>
    <row r="45" spans="1:19" x14ac:dyDescent="0.2">
      <c r="A45">
        <v>37</v>
      </c>
      <c r="B45" s="3">
        <v>45308</v>
      </c>
      <c r="C45">
        <v>1415</v>
      </c>
      <c r="D45">
        <v>1</v>
      </c>
      <c r="E45" t="s">
        <v>18</v>
      </c>
      <c r="F45" s="7">
        <v>5</v>
      </c>
      <c r="G45" s="7">
        <v>2</v>
      </c>
      <c r="H45" s="10">
        <v>136</v>
      </c>
      <c r="I45" s="4">
        <f t="shared" si="0"/>
        <v>680</v>
      </c>
      <c r="J45" s="4">
        <f t="shared" si="1"/>
        <v>272</v>
      </c>
      <c r="K45" s="4">
        <f t="shared" si="2"/>
        <v>408</v>
      </c>
      <c r="L45">
        <v>2</v>
      </c>
      <c r="M45" t="s">
        <v>34</v>
      </c>
      <c r="N45" t="s">
        <v>37</v>
      </c>
      <c r="O45" t="s">
        <v>38</v>
      </c>
      <c r="P45">
        <v>84113</v>
      </c>
      <c r="Q45" t="s">
        <v>26</v>
      </c>
      <c r="R45" t="s">
        <v>40</v>
      </c>
      <c r="S45">
        <v>2</v>
      </c>
    </row>
    <row r="46" spans="1:19" x14ac:dyDescent="0.2">
      <c r="A46">
        <v>37</v>
      </c>
      <c r="B46" s="3">
        <v>45309</v>
      </c>
      <c r="C46">
        <v>1415</v>
      </c>
      <c r="D46">
        <v>5</v>
      </c>
      <c r="E46" t="s">
        <v>29</v>
      </c>
      <c r="F46" s="7">
        <v>3</v>
      </c>
      <c r="G46" s="7">
        <v>1.25</v>
      </c>
      <c r="H46" s="10">
        <v>245</v>
      </c>
      <c r="I46" s="4">
        <f t="shared" si="0"/>
        <v>735</v>
      </c>
      <c r="J46" s="4">
        <f t="shared" si="1"/>
        <v>306.25</v>
      </c>
      <c r="K46" s="4">
        <f t="shared" si="2"/>
        <v>428.75</v>
      </c>
      <c r="L46">
        <v>2</v>
      </c>
      <c r="M46" t="s">
        <v>34</v>
      </c>
      <c r="N46" t="s">
        <v>37</v>
      </c>
      <c r="O46" t="s">
        <v>38</v>
      </c>
      <c r="P46">
        <v>84113</v>
      </c>
      <c r="Q46" t="s">
        <v>26</v>
      </c>
      <c r="R46" t="s">
        <v>40</v>
      </c>
      <c r="S46">
        <v>2</v>
      </c>
    </row>
    <row r="47" spans="1:19" x14ac:dyDescent="0.2">
      <c r="A47">
        <v>13</v>
      </c>
      <c r="B47" s="3">
        <v>45244</v>
      </c>
      <c r="C47">
        <v>3293</v>
      </c>
      <c r="D47">
        <v>2</v>
      </c>
      <c r="E47" t="s">
        <v>28</v>
      </c>
      <c r="F47" s="7">
        <v>1</v>
      </c>
      <c r="G47" s="7">
        <v>0.5</v>
      </c>
      <c r="H47" s="10">
        <v>193</v>
      </c>
      <c r="I47" s="4">
        <f t="shared" si="0"/>
        <v>193</v>
      </c>
      <c r="J47" s="4">
        <f t="shared" si="1"/>
        <v>96.5</v>
      </c>
      <c r="K47" s="4">
        <f t="shared" si="2"/>
        <v>96.5</v>
      </c>
      <c r="L47">
        <v>3</v>
      </c>
      <c r="M47" t="s">
        <v>58</v>
      </c>
      <c r="N47" t="s">
        <v>61</v>
      </c>
      <c r="O47" t="s">
        <v>62</v>
      </c>
      <c r="P47">
        <v>54303</v>
      </c>
      <c r="Q47" t="s">
        <v>26</v>
      </c>
      <c r="R47" t="s">
        <v>63</v>
      </c>
      <c r="S47">
        <v>3</v>
      </c>
    </row>
    <row r="48" spans="1:19" x14ac:dyDescent="0.2">
      <c r="A48">
        <v>13</v>
      </c>
      <c r="B48" s="3">
        <v>45245</v>
      </c>
      <c r="C48">
        <v>3293</v>
      </c>
      <c r="D48">
        <v>4</v>
      </c>
      <c r="E48" t="s">
        <v>31</v>
      </c>
      <c r="F48" s="7">
        <v>4</v>
      </c>
      <c r="G48" s="7">
        <v>1.5</v>
      </c>
      <c r="H48" s="10">
        <v>225</v>
      </c>
      <c r="I48" s="4">
        <f t="shared" si="0"/>
        <v>900</v>
      </c>
      <c r="J48" s="4">
        <f t="shared" si="1"/>
        <v>337.5</v>
      </c>
      <c r="K48" s="4">
        <f t="shared" si="2"/>
        <v>562.5</v>
      </c>
      <c r="L48">
        <v>3</v>
      </c>
      <c r="M48" t="s">
        <v>58</v>
      </c>
      <c r="N48" t="s">
        <v>61</v>
      </c>
      <c r="O48" t="s">
        <v>62</v>
      </c>
      <c r="P48">
        <v>54303</v>
      </c>
      <c r="Q48" t="s">
        <v>26</v>
      </c>
      <c r="R48" t="s">
        <v>63</v>
      </c>
      <c r="S48">
        <v>3</v>
      </c>
    </row>
    <row r="49" spans="1:19" x14ac:dyDescent="0.2">
      <c r="A49">
        <v>13</v>
      </c>
      <c r="B49" s="3">
        <v>45246</v>
      </c>
      <c r="C49">
        <v>3293</v>
      </c>
      <c r="D49">
        <v>1</v>
      </c>
      <c r="E49" t="s">
        <v>18</v>
      </c>
      <c r="F49" s="7">
        <v>5</v>
      </c>
      <c r="G49" s="7">
        <v>2</v>
      </c>
      <c r="H49" s="10">
        <v>201</v>
      </c>
      <c r="I49" s="4">
        <f t="shared" si="0"/>
        <v>1005</v>
      </c>
      <c r="J49" s="4">
        <f t="shared" si="1"/>
        <v>402</v>
      </c>
      <c r="K49" s="4">
        <f t="shared" si="2"/>
        <v>603</v>
      </c>
      <c r="L49">
        <v>3</v>
      </c>
      <c r="M49" t="s">
        <v>58</v>
      </c>
      <c r="N49" t="s">
        <v>61</v>
      </c>
      <c r="O49" t="s">
        <v>62</v>
      </c>
      <c r="P49">
        <v>54303</v>
      </c>
      <c r="Q49" t="s">
        <v>26</v>
      </c>
      <c r="R49" t="s">
        <v>63</v>
      </c>
      <c r="S49">
        <v>3</v>
      </c>
    </row>
    <row r="50" spans="1:19" x14ac:dyDescent="0.2">
      <c r="A50">
        <v>13</v>
      </c>
      <c r="B50" s="3">
        <v>45247</v>
      </c>
      <c r="C50">
        <v>3293</v>
      </c>
      <c r="D50">
        <v>2</v>
      </c>
      <c r="E50" t="s">
        <v>28</v>
      </c>
      <c r="F50" s="7">
        <v>1</v>
      </c>
      <c r="G50" s="7">
        <v>0.5</v>
      </c>
      <c r="H50" s="10">
        <v>193</v>
      </c>
      <c r="I50" s="4">
        <f t="shared" si="0"/>
        <v>193</v>
      </c>
      <c r="J50" s="4">
        <f t="shared" si="1"/>
        <v>96.5</v>
      </c>
      <c r="K50" s="4">
        <f t="shared" si="2"/>
        <v>96.5</v>
      </c>
      <c r="L50">
        <v>3</v>
      </c>
      <c r="M50" t="s">
        <v>58</v>
      </c>
      <c r="N50" t="s">
        <v>61</v>
      </c>
      <c r="O50" t="s">
        <v>62</v>
      </c>
      <c r="P50">
        <v>54303</v>
      </c>
      <c r="Q50" t="s">
        <v>26</v>
      </c>
      <c r="R50" t="s">
        <v>63</v>
      </c>
      <c r="S50">
        <v>3</v>
      </c>
    </row>
    <row r="51" spans="1:19" x14ac:dyDescent="0.2">
      <c r="A51">
        <v>13</v>
      </c>
      <c r="B51" s="3">
        <v>45248</v>
      </c>
      <c r="C51">
        <v>3293</v>
      </c>
      <c r="D51">
        <v>3</v>
      </c>
      <c r="E51" t="s">
        <v>30</v>
      </c>
      <c r="F51" s="7">
        <v>5</v>
      </c>
      <c r="G51" s="7">
        <v>2.2000000000000002</v>
      </c>
      <c r="H51" s="10">
        <v>239</v>
      </c>
      <c r="I51" s="4">
        <f t="shared" si="0"/>
        <v>1195</v>
      </c>
      <c r="J51" s="4">
        <f t="shared" si="1"/>
        <v>525.80000000000007</v>
      </c>
      <c r="K51" s="4">
        <f t="shared" si="2"/>
        <v>669.19999999999993</v>
      </c>
      <c r="L51">
        <v>3</v>
      </c>
      <c r="M51" t="s">
        <v>58</v>
      </c>
      <c r="N51" t="s">
        <v>61</v>
      </c>
      <c r="O51" t="s">
        <v>62</v>
      </c>
      <c r="P51">
        <v>54303</v>
      </c>
      <c r="Q51" t="s">
        <v>26</v>
      </c>
      <c r="R51" t="s">
        <v>63</v>
      </c>
      <c r="S51">
        <v>3</v>
      </c>
    </row>
    <row r="52" spans="1:19" x14ac:dyDescent="0.2">
      <c r="A52">
        <v>15</v>
      </c>
      <c r="B52" s="3">
        <v>45252</v>
      </c>
      <c r="C52">
        <v>1093</v>
      </c>
      <c r="D52">
        <v>5</v>
      </c>
      <c r="E52" t="s">
        <v>29</v>
      </c>
      <c r="F52" s="7">
        <v>3</v>
      </c>
      <c r="G52" s="7">
        <v>1.25</v>
      </c>
      <c r="H52" s="10">
        <v>48</v>
      </c>
      <c r="I52" s="4">
        <f t="shared" si="0"/>
        <v>144</v>
      </c>
      <c r="J52" s="4">
        <f t="shared" si="1"/>
        <v>60</v>
      </c>
      <c r="K52" s="4">
        <f t="shared" si="2"/>
        <v>84</v>
      </c>
      <c r="L52">
        <v>3</v>
      </c>
      <c r="M52" t="s">
        <v>58</v>
      </c>
      <c r="N52" t="s">
        <v>61</v>
      </c>
      <c r="O52" t="s">
        <v>62</v>
      </c>
      <c r="P52">
        <v>54303</v>
      </c>
      <c r="Q52" t="s">
        <v>26</v>
      </c>
      <c r="R52" t="s">
        <v>63</v>
      </c>
      <c r="S52">
        <v>3</v>
      </c>
    </row>
    <row r="53" spans="1:19" x14ac:dyDescent="0.2">
      <c r="A53">
        <v>15</v>
      </c>
      <c r="B53" s="3">
        <v>45253</v>
      </c>
      <c r="C53">
        <v>1093</v>
      </c>
      <c r="D53">
        <v>3</v>
      </c>
      <c r="E53" t="s">
        <v>30</v>
      </c>
      <c r="F53" s="7">
        <v>5</v>
      </c>
      <c r="G53" s="7">
        <v>2.2000000000000002</v>
      </c>
      <c r="H53" s="10">
        <v>109</v>
      </c>
      <c r="I53" s="4">
        <f t="shared" si="0"/>
        <v>545</v>
      </c>
      <c r="J53" s="4">
        <f t="shared" si="1"/>
        <v>239.8</v>
      </c>
      <c r="K53" s="4">
        <f t="shared" si="2"/>
        <v>305.2</v>
      </c>
      <c r="L53">
        <v>3</v>
      </c>
      <c r="M53" t="s">
        <v>58</v>
      </c>
      <c r="N53" t="s">
        <v>61</v>
      </c>
      <c r="O53" t="s">
        <v>62</v>
      </c>
      <c r="P53">
        <v>54303</v>
      </c>
      <c r="Q53" t="s">
        <v>26</v>
      </c>
      <c r="R53" t="s">
        <v>63</v>
      </c>
      <c r="S53">
        <v>3</v>
      </c>
    </row>
    <row r="54" spans="1:19" x14ac:dyDescent="0.2">
      <c r="A54">
        <v>15</v>
      </c>
      <c r="B54" s="3">
        <v>45254</v>
      </c>
      <c r="C54">
        <v>1093</v>
      </c>
      <c r="D54">
        <v>2</v>
      </c>
      <c r="E54" t="s">
        <v>28</v>
      </c>
      <c r="F54" s="7">
        <v>1</v>
      </c>
      <c r="G54" s="7">
        <v>0.5</v>
      </c>
      <c r="H54" s="10">
        <v>99</v>
      </c>
      <c r="I54" s="4">
        <f t="shared" si="0"/>
        <v>99</v>
      </c>
      <c r="J54" s="4">
        <f t="shared" si="1"/>
        <v>49.5</v>
      </c>
      <c r="K54" s="4">
        <f t="shared" si="2"/>
        <v>49.5</v>
      </c>
      <c r="L54">
        <v>3</v>
      </c>
      <c r="M54" t="s">
        <v>58</v>
      </c>
      <c r="N54" t="s">
        <v>61</v>
      </c>
      <c r="O54" t="s">
        <v>62</v>
      </c>
      <c r="P54">
        <v>54303</v>
      </c>
      <c r="Q54" t="s">
        <v>26</v>
      </c>
      <c r="R54" t="s">
        <v>63</v>
      </c>
      <c r="S54">
        <v>3</v>
      </c>
    </row>
    <row r="55" spans="1:19" x14ac:dyDescent="0.2">
      <c r="A55">
        <v>15</v>
      </c>
      <c r="B55" s="3">
        <v>45255</v>
      </c>
      <c r="C55">
        <v>1093</v>
      </c>
      <c r="D55">
        <v>1</v>
      </c>
      <c r="E55" t="s">
        <v>18</v>
      </c>
      <c r="F55" s="7">
        <v>5</v>
      </c>
      <c r="G55" s="7">
        <v>2</v>
      </c>
      <c r="H55" s="10">
        <v>61</v>
      </c>
      <c r="I55" s="4">
        <f t="shared" si="0"/>
        <v>305</v>
      </c>
      <c r="J55" s="4">
        <f t="shared" si="1"/>
        <v>122</v>
      </c>
      <c r="K55" s="4">
        <f t="shared" si="2"/>
        <v>183</v>
      </c>
      <c r="L55">
        <v>3</v>
      </c>
      <c r="M55" t="s">
        <v>58</v>
      </c>
      <c r="N55" t="s">
        <v>61</v>
      </c>
      <c r="O55" t="s">
        <v>62</v>
      </c>
      <c r="P55">
        <v>54303</v>
      </c>
      <c r="Q55" t="s">
        <v>26</v>
      </c>
      <c r="R55" t="s">
        <v>63</v>
      </c>
      <c r="S55">
        <v>3</v>
      </c>
    </row>
    <row r="56" spans="1:19" x14ac:dyDescent="0.2">
      <c r="A56">
        <v>17</v>
      </c>
      <c r="B56" s="3">
        <v>45258</v>
      </c>
      <c r="C56">
        <v>912</v>
      </c>
      <c r="D56">
        <v>5</v>
      </c>
      <c r="E56" t="s">
        <v>29</v>
      </c>
      <c r="F56" s="7">
        <v>3</v>
      </c>
      <c r="G56" s="7">
        <v>1.25</v>
      </c>
      <c r="H56" s="10">
        <v>199</v>
      </c>
      <c r="I56" s="4">
        <f t="shared" si="0"/>
        <v>597</v>
      </c>
      <c r="J56" s="4">
        <f t="shared" si="1"/>
        <v>248.75</v>
      </c>
      <c r="K56" s="4">
        <f t="shared" si="2"/>
        <v>348.25</v>
      </c>
      <c r="L56">
        <v>3</v>
      </c>
      <c r="M56" t="s">
        <v>58</v>
      </c>
      <c r="N56" t="s">
        <v>61</v>
      </c>
      <c r="O56" t="s">
        <v>62</v>
      </c>
      <c r="P56">
        <v>54303</v>
      </c>
      <c r="Q56" t="s">
        <v>26</v>
      </c>
      <c r="R56" t="s">
        <v>63</v>
      </c>
      <c r="S56">
        <v>3</v>
      </c>
    </row>
    <row r="57" spans="1:19" x14ac:dyDescent="0.2">
      <c r="A57">
        <v>17</v>
      </c>
      <c r="B57" s="3">
        <v>45259</v>
      </c>
      <c r="C57">
        <v>912</v>
      </c>
      <c r="D57">
        <v>3</v>
      </c>
      <c r="E57" t="s">
        <v>30</v>
      </c>
      <c r="F57" s="7">
        <v>5</v>
      </c>
      <c r="G57" s="7">
        <v>2.2000000000000002</v>
      </c>
      <c r="H57" s="10">
        <v>63</v>
      </c>
      <c r="I57" s="4">
        <f t="shared" si="0"/>
        <v>315</v>
      </c>
      <c r="J57" s="4">
        <f t="shared" si="1"/>
        <v>138.60000000000002</v>
      </c>
      <c r="K57" s="4">
        <f t="shared" si="2"/>
        <v>176.39999999999998</v>
      </c>
      <c r="L57">
        <v>3</v>
      </c>
      <c r="M57" t="s">
        <v>58</v>
      </c>
      <c r="N57" t="s">
        <v>61</v>
      </c>
      <c r="O57" t="s">
        <v>62</v>
      </c>
      <c r="P57">
        <v>54303</v>
      </c>
      <c r="Q57" t="s">
        <v>26</v>
      </c>
      <c r="R57" t="s">
        <v>63</v>
      </c>
      <c r="S57">
        <v>3</v>
      </c>
    </row>
    <row r="58" spans="1:19" x14ac:dyDescent="0.2">
      <c r="A58">
        <v>24</v>
      </c>
      <c r="B58" s="3">
        <v>45271</v>
      </c>
      <c r="C58">
        <v>1829</v>
      </c>
      <c r="D58">
        <v>5</v>
      </c>
      <c r="E58" t="s">
        <v>29</v>
      </c>
      <c r="F58" s="7">
        <v>3</v>
      </c>
      <c r="G58" s="7">
        <v>1.25</v>
      </c>
      <c r="H58" s="10">
        <v>122</v>
      </c>
      <c r="I58" s="4">
        <f t="shared" si="0"/>
        <v>366</v>
      </c>
      <c r="J58" s="4">
        <f t="shared" si="1"/>
        <v>152.5</v>
      </c>
      <c r="K58" s="4">
        <f t="shared" si="2"/>
        <v>213.5</v>
      </c>
      <c r="L58">
        <v>3</v>
      </c>
      <c r="M58" t="s">
        <v>58</v>
      </c>
      <c r="N58" t="s">
        <v>61</v>
      </c>
      <c r="O58" t="s">
        <v>62</v>
      </c>
      <c r="P58">
        <v>54303</v>
      </c>
      <c r="Q58" t="s">
        <v>26</v>
      </c>
      <c r="R58" t="s">
        <v>63</v>
      </c>
      <c r="S58">
        <v>3</v>
      </c>
    </row>
    <row r="59" spans="1:19" x14ac:dyDescent="0.2">
      <c r="A59">
        <v>24</v>
      </c>
      <c r="B59" s="3">
        <v>45272</v>
      </c>
      <c r="C59">
        <v>1829</v>
      </c>
      <c r="D59">
        <v>6</v>
      </c>
      <c r="E59" t="s">
        <v>32</v>
      </c>
      <c r="F59" s="7">
        <v>6</v>
      </c>
      <c r="G59" s="7">
        <v>2.75</v>
      </c>
      <c r="H59" s="10">
        <v>214</v>
      </c>
      <c r="I59" s="4">
        <f t="shared" si="0"/>
        <v>1284</v>
      </c>
      <c r="J59" s="4">
        <f t="shared" si="1"/>
        <v>588.5</v>
      </c>
      <c r="K59" s="4">
        <f t="shared" si="2"/>
        <v>695.5</v>
      </c>
      <c r="L59">
        <v>3</v>
      </c>
      <c r="M59" t="s">
        <v>58</v>
      </c>
      <c r="N59" t="s">
        <v>61</v>
      </c>
      <c r="O59" t="s">
        <v>62</v>
      </c>
      <c r="P59">
        <v>54303</v>
      </c>
      <c r="Q59" t="s">
        <v>26</v>
      </c>
      <c r="R59" t="s">
        <v>63</v>
      </c>
      <c r="S59">
        <v>3</v>
      </c>
    </row>
    <row r="60" spans="1:19" x14ac:dyDescent="0.2">
      <c r="A60">
        <v>24</v>
      </c>
      <c r="B60" s="3">
        <v>45273</v>
      </c>
      <c r="C60">
        <v>1829</v>
      </c>
      <c r="D60">
        <v>2</v>
      </c>
      <c r="E60" t="s">
        <v>28</v>
      </c>
      <c r="F60" s="7">
        <v>1</v>
      </c>
      <c r="G60" s="7">
        <v>0.5</v>
      </c>
      <c r="H60" s="10">
        <v>179</v>
      </c>
      <c r="I60" s="4">
        <f t="shared" si="0"/>
        <v>179</v>
      </c>
      <c r="J60" s="4">
        <f t="shared" si="1"/>
        <v>89.5</v>
      </c>
      <c r="K60" s="4">
        <f t="shared" si="2"/>
        <v>89.5</v>
      </c>
      <c r="L60">
        <v>3</v>
      </c>
      <c r="M60" t="s">
        <v>58</v>
      </c>
      <c r="N60" t="s">
        <v>61</v>
      </c>
      <c r="O60" t="s">
        <v>62</v>
      </c>
      <c r="P60">
        <v>54303</v>
      </c>
      <c r="Q60" t="s">
        <v>26</v>
      </c>
      <c r="R60" t="s">
        <v>63</v>
      </c>
      <c r="S60">
        <v>3</v>
      </c>
    </row>
    <row r="61" spans="1:19" x14ac:dyDescent="0.2">
      <c r="A61">
        <v>26</v>
      </c>
      <c r="B61" s="3">
        <v>45277</v>
      </c>
      <c r="C61">
        <v>171</v>
      </c>
      <c r="D61">
        <v>2</v>
      </c>
      <c r="E61" t="s">
        <v>28</v>
      </c>
      <c r="F61" s="7">
        <v>1</v>
      </c>
      <c r="G61" s="7">
        <v>0.5</v>
      </c>
      <c r="H61" s="10">
        <v>171</v>
      </c>
      <c r="I61" s="4">
        <f t="shared" si="0"/>
        <v>171</v>
      </c>
      <c r="J61" s="4">
        <f t="shared" si="1"/>
        <v>85.5</v>
      </c>
      <c r="K61" s="4">
        <f t="shared" si="2"/>
        <v>85.5</v>
      </c>
      <c r="L61">
        <v>3</v>
      </c>
      <c r="M61" t="s">
        <v>58</v>
      </c>
      <c r="N61" t="s">
        <v>61</v>
      </c>
      <c r="O61" t="s">
        <v>62</v>
      </c>
      <c r="P61">
        <v>54303</v>
      </c>
      <c r="Q61" t="s">
        <v>26</v>
      </c>
      <c r="R61" t="s">
        <v>63</v>
      </c>
      <c r="S61">
        <v>3</v>
      </c>
    </row>
    <row r="62" spans="1:19" x14ac:dyDescent="0.2">
      <c r="A62">
        <v>27</v>
      </c>
      <c r="B62" s="3">
        <v>45278</v>
      </c>
      <c r="C62">
        <v>1291</v>
      </c>
      <c r="D62">
        <v>1</v>
      </c>
      <c r="E62" t="s">
        <v>18</v>
      </c>
      <c r="F62" s="7">
        <v>5</v>
      </c>
      <c r="G62" s="7">
        <v>2</v>
      </c>
      <c r="H62" s="10">
        <v>179</v>
      </c>
      <c r="I62" s="4">
        <f t="shared" si="0"/>
        <v>895</v>
      </c>
      <c r="J62" s="4">
        <f t="shared" si="1"/>
        <v>358</v>
      </c>
      <c r="K62" s="4">
        <f t="shared" si="2"/>
        <v>537</v>
      </c>
      <c r="L62">
        <v>3</v>
      </c>
      <c r="M62" t="s">
        <v>58</v>
      </c>
      <c r="N62" t="s">
        <v>61</v>
      </c>
      <c r="O62" t="s">
        <v>62</v>
      </c>
      <c r="P62">
        <v>54303</v>
      </c>
      <c r="Q62" t="s">
        <v>26</v>
      </c>
      <c r="R62" t="s">
        <v>63</v>
      </c>
      <c r="S62">
        <v>3</v>
      </c>
    </row>
    <row r="63" spans="1:19" x14ac:dyDescent="0.2">
      <c r="A63">
        <v>27</v>
      </c>
      <c r="B63" s="3">
        <v>45279</v>
      </c>
      <c r="C63">
        <v>1291</v>
      </c>
      <c r="D63">
        <v>6</v>
      </c>
      <c r="E63" t="s">
        <v>32</v>
      </c>
      <c r="F63" s="7">
        <v>6</v>
      </c>
      <c r="G63" s="7">
        <v>2.75</v>
      </c>
      <c r="H63" s="10">
        <v>66</v>
      </c>
      <c r="I63" s="4">
        <f t="shared" si="0"/>
        <v>396</v>
      </c>
      <c r="J63" s="4">
        <f t="shared" si="1"/>
        <v>181.5</v>
      </c>
      <c r="K63" s="4">
        <f t="shared" si="2"/>
        <v>214.5</v>
      </c>
      <c r="L63">
        <v>3</v>
      </c>
      <c r="M63" t="s">
        <v>58</v>
      </c>
      <c r="N63" t="s">
        <v>61</v>
      </c>
      <c r="O63" t="s">
        <v>62</v>
      </c>
      <c r="P63">
        <v>54303</v>
      </c>
      <c r="Q63" t="s">
        <v>26</v>
      </c>
      <c r="R63" t="s">
        <v>63</v>
      </c>
      <c r="S63">
        <v>3</v>
      </c>
    </row>
    <row r="64" spans="1:19" x14ac:dyDescent="0.2">
      <c r="A64">
        <v>33</v>
      </c>
      <c r="B64" s="3">
        <v>45297</v>
      </c>
      <c r="C64">
        <v>2159</v>
      </c>
      <c r="D64">
        <v>5</v>
      </c>
      <c r="E64" t="s">
        <v>29</v>
      </c>
      <c r="F64" s="7">
        <v>3</v>
      </c>
      <c r="G64" s="7">
        <v>1.25</v>
      </c>
      <c r="H64" s="10">
        <v>202</v>
      </c>
      <c r="I64" s="4">
        <f t="shared" si="0"/>
        <v>606</v>
      </c>
      <c r="J64" s="4">
        <f t="shared" si="1"/>
        <v>252.5</v>
      </c>
      <c r="K64" s="4">
        <f t="shared" si="2"/>
        <v>353.5</v>
      </c>
      <c r="L64">
        <v>3</v>
      </c>
      <c r="M64" t="s">
        <v>58</v>
      </c>
      <c r="N64" t="s">
        <v>61</v>
      </c>
      <c r="O64" t="s">
        <v>62</v>
      </c>
      <c r="P64">
        <v>54303</v>
      </c>
      <c r="Q64" t="s">
        <v>26</v>
      </c>
      <c r="R64" t="s">
        <v>63</v>
      </c>
      <c r="S64">
        <v>3</v>
      </c>
    </row>
    <row r="65" spans="1:19" x14ac:dyDescent="0.2">
      <c r="A65">
        <v>33</v>
      </c>
      <c r="B65" s="3">
        <v>45298</v>
      </c>
      <c r="C65">
        <v>2159</v>
      </c>
      <c r="D65">
        <v>3</v>
      </c>
      <c r="E65" t="s">
        <v>30</v>
      </c>
      <c r="F65" s="7">
        <v>5</v>
      </c>
      <c r="G65" s="7">
        <v>2.2000000000000002</v>
      </c>
      <c r="H65" s="10">
        <v>103</v>
      </c>
      <c r="I65" s="4">
        <f t="shared" si="0"/>
        <v>515</v>
      </c>
      <c r="J65" s="4">
        <f t="shared" si="1"/>
        <v>226.60000000000002</v>
      </c>
      <c r="K65" s="4">
        <f t="shared" si="2"/>
        <v>288.39999999999998</v>
      </c>
      <c r="L65">
        <v>3</v>
      </c>
      <c r="M65" t="s">
        <v>58</v>
      </c>
      <c r="N65" t="s">
        <v>61</v>
      </c>
      <c r="O65" t="s">
        <v>62</v>
      </c>
      <c r="P65">
        <v>54303</v>
      </c>
      <c r="Q65" t="s">
        <v>26</v>
      </c>
      <c r="R65" t="s">
        <v>63</v>
      </c>
      <c r="S65">
        <v>3</v>
      </c>
    </row>
    <row r="66" spans="1:19" x14ac:dyDescent="0.2">
      <c r="A66">
        <v>33</v>
      </c>
      <c r="B66" s="3">
        <v>45299</v>
      </c>
      <c r="C66">
        <v>2159</v>
      </c>
      <c r="D66">
        <v>6</v>
      </c>
      <c r="E66" t="s">
        <v>32</v>
      </c>
      <c r="F66" s="7">
        <v>6</v>
      </c>
      <c r="G66" s="7">
        <v>2.75</v>
      </c>
      <c r="H66" s="10">
        <v>173</v>
      </c>
      <c r="I66" s="4">
        <f t="shared" si="0"/>
        <v>1038</v>
      </c>
      <c r="J66" s="4">
        <f t="shared" si="1"/>
        <v>475.75</v>
      </c>
      <c r="K66" s="4">
        <f t="shared" si="2"/>
        <v>562.25</v>
      </c>
      <c r="L66">
        <v>3</v>
      </c>
      <c r="M66" t="s">
        <v>58</v>
      </c>
      <c r="N66" t="s">
        <v>61</v>
      </c>
      <c r="O66" t="s">
        <v>62</v>
      </c>
      <c r="P66">
        <v>54303</v>
      </c>
      <c r="Q66" t="s">
        <v>26</v>
      </c>
      <c r="R66" t="s">
        <v>63</v>
      </c>
      <c r="S66">
        <v>3</v>
      </c>
    </row>
    <row r="67" spans="1:19" x14ac:dyDescent="0.2">
      <c r="A67">
        <v>44</v>
      </c>
      <c r="B67" s="3">
        <v>45324</v>
      </c>
      <c r="C67">
        <v>952</v>
      </c>
      <c r="D67">
        <v>2</v>
      </c>
      <c r="E67" t="s">
        <v>28</v>
      </c>
      <c r="F67" s="7">
        <v>1</v>
      </c>
      <c r="G67" s="7">
        <v>0.5</v>
      </c>
      <c r="H67" s="10">
        <v>155</v>
      </c>
      <c r="I67" s="4">
        <f t="shared" ref="I67:I130" si="3">H67*F67</f>
        <v>155</v>
      </c>
      <c r="J67" s="4">
        <f t="shared" ref="J67:J130" si="4">G67*H67</f>
        <v>77.5</v>
      </c>
      <c r="K67" s="4">
        <f t="shared" ref="K67:K130" si="5">I67-J67</f>
        <v>77.5</v>
      </c>
      <c r="L67">
        <v>3</v>
      </c>
      <c r="M67" t="s">
        <v>58</v>
      </c>
      <c r="N67" t="s">
        <v>61</v>
      </c>
      <c r="O67" t="s">
        <v>62</v>
      </c>
      <c r="P67">
        <v>54303</v>
      </c>
      <c r="Q67" t="s">
        <v>26</v>
      </c>
      <c r="R67" t="s">
        <v>63</v>
      </c>
      <c r="S67">
        <v>3</v>
      </c>
    </row>
    <row r="68" spans="1:19" x14ac:dyDescent="0.2">
      <c r="A68">
        <v>44</v>
      </c>
      <c r="B68" s="3">
        <v>45325</v>
      </c>
      <c r="C68">
        <v>952</v>
      </c>
      <c r="D68">
        <v>5</v>
      </c>
      <c r="E68" t="s">
        <v>29</v>
      </c>
      <c r="F68" s="7">
        <v>3</v>
      </c>
      <c r="G68" s="7">
        <v>1.25</v>
      </c>
      <c r="H68" s="10">
        <v>239</v>
      </c>
      <c r="I68" s="4">
        <f t="shared" si="3"/>
        <v>717</v>
      </c>
      <c r="J68" s="4">
        <f t="shared" si="4"/>
        <v>298.75</v>
      </c>
      <c r="K68" s="4">
        <f t="shared" si="5"/>
        <v>418.25</v>
      </c>
      <c r="L68">
        <v>3</v>
      </c>
      <c r="M68" t="s">
        <v>58</v>
      </c>
      <c r="N68" t="s">
        <v>61</v>
      </c>
      <c r="O68" t="s">
        <v>62</v>
      </c>
      <c r="P68">
        <v>54303</v>
      </c>
      <c r="Q68" t="s">
        <v>26</v>
      </c>
      <c r="R68" t="s">
        <v>63</v>
      </c>
      <c r="S68">
        <v>3</v>
      </c>
    </row>
    <row r="69" spans="1:19" x14ac:dyDescent="0.2">
      <c r="A69">
        <v>44</v>
      </c>
      <c r="B69" s="3">
        <v>45326</v>
      </c>
      <c r="C69">
        <v>952</v>
      </c>
      <c r="D69">
        <v>4</v>
      </c>
      <c r="E69" t="s">
        <v>31</v>
      </c>
      <c r="F69" s="7">
        <v>4</v>
      </c>
      <c r="G69" s="7">
        <v>1.5</v>
      </c>
      <c r="H69" s="10">
        <v>20</v>
      </c>
      <c r="I69" s="4">
        <f t="shared" si="3"/>
        <v>80</v>
      </c>
      <c r="J69" s="4">
        <f t="shared" si="4"/>
        <v>30</v>
      </c>
      <c r="K69" s="4">
        <f t="shared" si="5"/>
        <v>50</v>
      </c>
      <c r="L69">
        <v>3</v>
      </c>
      <c r="M69" t="s">
        <v>58</v>
      </c>
      <c r="N69" t="s">
        <v>61</v>
      </c>
      <c r="O69" t="s">
        <v>62</v>
      </c>
      <c r="P69">
        <v>54303</v>
      </c>
      <c r="Q69" t="s">
        <v>26</v>
      </c>
      <c r="R69" t="s">
        <v>63</v>
      </c>
      <c r="S69">
        <v>3</v>
      </c>
    </row>
    <row r="70" spans="1:19" x14ac:dyDescent="0.2">
      <c r="A70">
        <v>45</v>
      </c>
      <c r="B70" s="3">
        <v>45327</v>
      </c>
      <c r="C70">
        <v>2208</v>
      </c>
      <c r="D70">
        <v>6</v>
      </c>
      <c r="E70" t="s">
        <v>32</v>
      </c>
      <c r="F70" s="7">
        <v>6</v>
      </c>
      <c r="G70" s="7">
        <v>2.75</v>
      </c>
      <c r="H70" s="10">
        <v>144</v>
      </c>
      <c r="I70" s="4">
        <f t="shared" si="3"/>
        <v>864</v>
      </c>
      <c r="J70" s="4">
        <f t="shared" si="4"/>
        <v>396</v>
      </c>
      <c r="K70" s="4">
        <f t="shared" si="5"/>
        <v>468</v>
      </c>
      <c r="L70">
        <v>3</v>
      </c>
      <c r="M70" t="s">
        <v>58</v>
      </c>
      <c r="N70" t="s">
        <v>61</v>
      </c>
      <c r="O70" t="s">
        <v>62</v>
      </c>
      <c r="P70">
        <v>54303</v>
      </c>
      <c r="Q70" t="s">
        <v>26</v>
      </c>
      <c r="R70" t="s">
        <v>63</v>
      </c>
      <c r="S70">
        <v>3</v>
      </c>
    </row>
    <row r="71" spans="1:19" x14ac:dyDescent="0.2">
      <c r="A71">
        <v>45</v>
      </c>
      <c r="B71" s="3">
        <v>45328</v>
      </c>
      <c r="C71">
        <v>2208</v>
      </c>
      <c r="D71">
        <v>4</v>
      </c>
      <c r="E71" t="s">
        <v>31</v>
      </c>
      <c r="F71" s="7">
        <v>4</v>
      </c>
      <c r="G71" s="7">
        <v>1.5</v>
      </c>
      <c r="H71" s="10">
        <v>168</v>
      </c>
      <c r="I71" s="4">
        <f t="shared" si="3"/>
        <v>672</v>
      </c>
      <c r="J71" s="4">
        <f t="shared" si="4"/>
        <v>252</v>
      </c>
      <c r="K71" s="4">
        <f t="shared" si="5"/>
        <v>420</v>
      </c>
      <c r="L71">
        <v>3</v>
      </c>
      <c r="M71" t="s">
        <v>58</v>
      </c>
      <c r="N71" t="s">
        <v>61</v>
      </c>
      <c r="O71" t="s">
        <v>62</v>
      </c>
      <c r="P71">
        <v>54303</v>
      </c>
      <c r="Q71" t="s">
        <v>26</v>
      </c>
      <c r="R71" t="s">
        <v>63</v>
      </c>
      <c r="S71">
        <v>3</v>
      </c>
    </row>
    <row r="72" spans="1:19" x14ac:dyDescent="0.2">
      <c r="A72">
        <v>45</v>
      </c>
      <c r="B72" s="3">
        <v>45329</v>
      </c>
      <c r="C72">
        <v>2208</v>
      </c>
      <c r="D72">
        <v>5</v>
      </c>
      <c r="E72" t="s">
        <v>29</v>
      </c>
      <c r="F72" s="7">
        <v>3</v>
      </c>
      <c r="G72" s="7">
        <v>1.25</v>
      </c>
      <c r="H72" s="10">
        <v>224</v>
      </c>
      <c r="I72" s="4">
        <f t="shared" si="3"/>
        <v>672</v>
      </c>
      <c r="J72" s="4">
        <f t="shared" si="4"/>
        <v>280</v>
      </c>
      <c r="K72" s="4">
        <f t="shared" si="5"/>
        <v>392</v>
      </c>
      <c r="L72">
        <v>3</v>
      </c>
      <c r="M72" t="s">
        <v>58</v>
      </c>
      <c r="N72" t="s">
        <v>61</v>
      </c>
      <c r="O72" t="s">
        <v>62</v>
      </c>
      <c r="P72">
        <v>54303</v>
      </c>
      <c r="Q72" t="s">
        <v>26</v>
      </c>
      <c r="R72" t="s">
        <v>63</v>
      </c>
      <c r="S72">
        <v>3</v>
      </c>
    </row>
    <row r="73" spans="1:19" x14ac:dyDescent="0.2">
      <c r="A73">
        <v>47</v>
      </c>
      <c r="B73" s="3">
        <v>45333</v>
      </c>
      <c r="C73">
        <v>798</v>
      </c>
      <c r="D73">
        <v>4</v>
      </c>
      <c r="E73" t="s">
        <v>31</v>
      </c>
      <c r="F73" s="7">
        <v>4</v>
      </c>
      <c r="G73" s="7">
        <v>1.5</v>
      </c>
      <c r="H73" s="10">
        <v>132</v>
      </c>
      <c r="I73" s="4">
        <f t="shared" si="3"/>
        <v>528</v>
      </c>
      <c r="J73" s="4">
        <f t="shared" si="4"/>
        <v>198</v>
      </c>
      <c r="K73" s="4">
        <f t="shared" si="5"/>
        <v>330</v>
      </c>
      <c r="L73">
        <v>3</v>
      </c>
      <c r="M73" t="s">
        <v>58</v>
      </c>
      <c r="N73" t="s">
        <v>61</v>
      </c>
      <c r="O73" t="s">
        <v>62</v>
      </c>
      <c r="P73">
        <v>54303</v>
      </c>
      <c r="Q73" t="s">
        <v>26</v>
      </c>
      <c r="R73" t="s">
        <v>63</v>
      </c>
      <c r="S73">
        <v>3</v>
      </c>
    </row>
    <row r="74" spans="1:19" x14ac:dyDescent="0.2">
      <c r="A74">
        <v>47</v>
      </c>
      <c r="B74" s="3">
        <v>45334</v>
      </c>
      <c r="C74">
        <v>798</v>
      </c>
      <c r="D74">
        <v>6</v>
      </c>
      <c r="E74" t="s">
        <v>32</v>
      </c>
      <c r="F74" s="7">
        <v>6</v>
      </c>
      <c r="G74" s="7">
        <v>2.75</v>
      </c>
      <c r="H74" s="10">
        <v>45</v>
      </c>
      <c r="I74" s="4">
        <f t="shared" si="3"/>
        <v>270</v>
      </c>
      <c r="J74" s="4">
        <f t="shared" si="4"/>
        <v>123.75</v>
      </c>
      <c r="K74" s="4">
        <f t="shared" si="5"/>
        <v>146.25</v>
      </c>
      <c r="L74">
        <v>3</v>
      </c>
      <c r="M74" t="s">
        <v>58</v>
      </c>
      <c r="N74" t="s">
        <v>61</v>
      </c>
      <c r="O74" t="s">
        <v>62</v>
      </c>
      <c r="P74">
        <v>54303</v>
      </c>
      <c r="Q74" t="s">
        <v>26</v>
      </c>
      <c r="R74" t="s">
        <v>63</v>
      </c>
      <c r="S74">
        <v>3</v>
      </c>
    </row>
    <row r="75" spans="1:19" x14ac:dyDescent="0.2">
      <c r="A75">
        <v>5</v>
      </c>
      <c r="B75" s="3">
        <v>45221</v>
      </c>
      <c r="C75">
        <v>569</v>
      </c>
      <c r="D75">
        <v>5</v>
      </c>
      <c r="E75" t="s">
        <v>29</v>
      </c>
      <c r="F75" s="7">
        <v>3</v>
      </c>
      <c r="G75" s="7">
        <v>1.25</v>
      </c>
      <c r="H75" s="10">
        <v>11</v>
      </c>
      <c r="I75" s="4">
        <f t="shared" si="3"/>
        <v>33</v>
      </c>
      <c r="J75" s="4">
        <f t="shared" si="4"/>
        <v>13.75</v>
      </c>
      <c r="K75" s="4">
        <f t="shared" si="5"/>
        <v>19.25</v>
      </c>
      <c r="L75">
        <v>4</v>
      </c>
      <c r="M75" t="s">
        <v>50</v>
      </c>
      <c r="N75" t="s">
        <v>53</v>
      </c>
      <c r="O75" t="s">
        <v>54</v>
      </c>
      <c r="P75">
        <v>11743</v>
      </c>
      <c r="Q75" t="s">
        <v>26</v>
      </c>
      <c r="R75" t="s">
        <v>56</v>
      </c>
      <c r="S75">
        <v>4</v>
      </c>
    </row>
    <row r="76" spans="1:19" x14ac:dyDescent="0.2">
      <c r="A76">
        <v>5</v>
      </c>
      <c r="B76" s="3">
        <v>45222</v>
      </c>
      <c r="C76">
        <v>569</v>
      </c>
      <c r="D76">
        <v>1</v>
      </c>
      <c r="E76" t="s">
        <v>18</v>
      </c>
      <c r="F76" s="7">
        <v>5</v>
      </c>
      <c r="G76" s="7">
        <v>2</v>
      </c>
      <c r="H76" s="10">
        <v>46</v>
      </c>
      <c r="I76" s="4">
        <f t="shared" si="3"/>
        <v>230</v>
      </c>
      <c r="J76" s="4">
        <f t="shared" si="4"/>
        <v>92</v>
      </c>
      <c r="K76" s="4">
        <f t="shared" si="5"/>
        <v>138</v>
      </c>
      <c r="L76">
        <v>4</v>
      </c>
      <c r="M76" t="s">
        <v>50</v>
      </c>
      <c r="N76" t="s">
        <v>53</v>
      </c>
      <c r="O76" t="s">
        <v>54</v>
      </c>
      <c r="P76">
        <v>11743</v>
      </c>
      <c r="Q76" t="s">
        <v>26</v>
      </c>
      <c r="R76" t="s">
        <v>56</v>
      </c>
      <c r="S76">
        <v>4</v>
      </c>
    </row>
    <row r="77" spans="1:19" x14ac:dyDescent="0.2">
      <c r="A77">
        <v>5</v>
      </c>
      <c r="B77" s="3">
        <v>45223</v>
      </c>
      <c r="C77">
        <v>569</v>
      </c>
      <c r="D77">
        <v>6</v>
      </c>
      <c r="E77" t="s">
        <v>32</v>
      </c>
      <c r="F77" s="7">
        <v>6</v>
      </c>
      <c r="G77" s="7">
        <v>2.75</v>
      </c>
      <c r="H77" s="10">
        <v>51</v>
      </c>
      <c r="I77" s="4">
        <f t="shared" si="3"/>
        <v>306</v>
      </c>
      <c r="J77" s="4">
        <f t="shared" si="4"/>
        <v>140.25</v>
      </c>
      <c r="K77" s="4">
        <f t="shared" si="5"/>
        <v>165.75</v>
      </c>
      <c r="L77">
        <v>4</v>
      </c>
      <c r="M77" t="s">
        <v>50</v>
      </c>
      <c r="N77" t="s">
        <v>53</v>
      </c>
      <c r="O77" t="s">
        <v>54</v>
      </c>
      <c r="P77">
        <v>11743</v>
      </c>
      <c r="Q77" t="s">
        <v>26</v>
      </c>
      <c r="R77" t="s">
        <v>56</v>
      </c>
      <c r="S77">
        <v>4</v>
      </c>
    </row>
    <row r="78" spans="1:19" x14ac:dyDescent="0.2">
      <c r="A78">
        <v>6</v>
      </c>
      <c r="B78" s="3">
        <v>45224</v>
      </c>
      <c r="C78">
        <v>1586</v>
      </c>
      <c r="D78">
        <v>1</v>
      </c>
      <c r="E78" t="s">
        <v>18</v>
      </c>
      <c r="F78" s="7">
        <v>5</v>
      </c>
      <c r="G78" s="7">
        <v>2</v>
      </c>
      <c r="H78" s="10">
        <v>214</v>
      </c>
      <c r="I78" s="4">
        <f t="shared" si="3"/>
        <v>1070</v>
      </c>
      <c r="J78" s="4">
        <f t="shared" si="4"/>
        <v>428</v>
      </c>
      <c r="K78" s="4">
        <f t="shared" si="5"/>
        <v>642</v>
      </c>
      <c r="L78">
        <v>4</v>
      </c>
      <c r="M78" t="s">
        <v>50</v>
      </c>
      <c r="N78" t="s">
        <v>53</v>
      </c>
      <c r="O78" t="s">
        <v>54</v>
      </c>
      <c r="P78">
        <v>11743</v>
      </c>
      <c r="Q78" t="s">
        <v>26</v>
      </c>
      <c r="R78" t="s">
        <v>56</v>
      </c>
      <c r="S78">
        <v>4</v>
      </c>
    </row>
    <row r="79" spans="1:19" x14ac:dyDescent="0.2">
      <c r="A79">
        <v>6</v>
      </c>
      <c r="B79" s="3">
        <v>45225</v>
      </c>
      <c r="C79">
        <v>1586</v>
      </c>
      <c r="D79">
        <v>3</v>
      </c>
      <c r="E79" t="s">
        <v>30</v>
      </c>
      <c r="F79" s="7">
        <v>5</v>
      </c>
      <c r="G79" s="7">
        <v>2.2000000000000002</v>
      </c>
      <c r="H79" s="10">
        <v>24</v>
      </c>
      <c r="I79" s="4">
        <f t="shared" si="3"/>
        <v>120</v>
      </c>
      <c r="J79" s="4">
        <f t="shared" si="4"/>
        <v>52.800000000000004</v>
      </c>
      <c r="K79" s="4">
        <f t="shared" si="5"/>
        <v>67.199999999999989</v>
      </c>
      <c r="L79">
        <v>4</v>
      </c>
      <c r="M79" t="s">
        <v>50</v>
      </c>
      <c r="N79" t="s">
        <v>53</v>
      </c>
      <c r="O79" t="s">
        <v>54</v>
      </c>
      <c r="P79">
        <v>11743</v>
      </c>
      <c r="Q79" t="s">
        <v>26</v>
      </c>
      <c r="R79" t="s">
        <v>56</v>
      </c>
      <c r="S79">
        <v>4</v>
      </c>
    </row>
    <row r="80" spans="1:19" x14ac:dyDescent="0.2">
      <c r="A80">
        <v>6</v>
      </c>
      <c r="B80" s="3">
        <v>45226</v>
      </c>
      <c r="C80">
        <v>1586</v>
      </c>
      <c r="D80">
        <v>6</v>
      </c>
      <c r="E80" t="s">
        <v>32</v>
      </c>
      <c r="F80" s="7">
        <v>6</v>
      </c>
      <c r="G80" s="7">
        <v>2.75</v>
      </c>
      <c r="H80" s="10">
        <v>66</v>
      </c>
      <c r="I80" s="4">
        <f t="shared" si="3"/>
        <v>396</v>
      </c>
      <c r="J80" s="4">
        <f t="shared" si="4"/>
        <v>181.5</v>
      </c>
      <c r="K80" s="4">
        <f t="shared" si="5"/>
        <v>214.5</v>
      </c>
      <c r="L80">
        <v>4</v>
      </c>
      <c r="M80" t="s">
        <v>50</v>
      </c>
      <c r="N80" t="s">
        <v>53</v>
      </c>
      <c r="O80" t="s">
        <v>54</v>
      </c>
      <c r="P80">
        <v>11743</v>
      </c>
      <c r="Q80" t="s">
        <v>26</v>
      </c>
      <c r="R80" t="s">
        <v>56</v>
      </c>
      <c r="S80">
        <v>4</v>
      </c>
    </row>
    <row r="81" spans="1:19" x14ac:dyDescent="0.2">
      <c r="A81">
        <v>7</v>
      </c>
      <c r="B81" s="3">
        <v>45227</v>
      </c>
      <c r="C81">
        <v>210</v>
      </c>
      <c r="D81">
        <v>2</v>
      </c>
      <c r="E81" t="s">
        <v>28</v>
      </c>
      <c r="F81" s="7">
        <v>1</v>
      </c>
      <c r="G81" s="7">
        <v>0.5</v>
      </c>
      <c r="H81" s="10">
        <v>210</v>
      </c>
      <c r="I81" s="4">
        <f t="shared" si="3"/>
        <v>210</v>
      </c>
      <c r="J81" s="4">
        <f t="shared" si="4"/>
        <v>105</v>
      </c>
      <c r="K81" s="4">
        <f t="shared" si="5"/>
        <v>105</v>
      </c>
      <c r="L81">
        <v>4</v>
      </c>
      <c r="M81" t="s">
        <v>50</v>
      </c>
      <c r="N81" t="s">
        <v>53</v>
      </c>
      <c r="O81" t="s">
        <v>54</v>
      </c>
      <c r="P81">
        <v>11743</v>
      </c>
      <c r="Q81" t="s">
        <v>26</v>
      </c>
      <c r="R81" t="s">
        <v>56</v>
      </c>
      <c r="S81">
        <v>4</v>
      </c>
    </row>
    <row r="82" spans="1:19" x14ac:dyDescent="0.2">
      <c r="A82">
        <v>10</v>
      </c>
      <c r="B82" s="3">
        <v>45237</v>
      </c>
      <c r="C82">
        <v>39</v>
      </c>
      <c r="D82">
        <v>2</v>
      </c>
      <c r="E82" t="s">
        <v>28</v>
      </c>
      <c r="F82" s="7">
        <v>1</v>
      </c>
      <c r="G82" s="7">
        <v>0.5</v>
      </c>
      <c r="H82" s="10">
        <v>39</v>
      </c>
      <c r="I82" s="4">
        <f t="shared" si="3"/>
        <v>39</v>
      </c>
      <c r="J82" s="4">
        <f t="shared" si="4"/>
        <v>19.5</v>
      </c>
      <c r="K82" s="4">
        <f t="shared" si="5"/>
        <v>19.5</v>
      </c>
      <c r="L82">
        <v>4</v>
      </c>
      <c r="M82" t="s">
        <v>50</v>
      </c>
      <c r="N82" t="s">
        <v>53</v>
      </c>
      <c r="O82" t="s">
        <v>54</v>
      </c>
      <c r="P82">
        <v>11743</v>
      </c>
      <c r="Q82" t="s">
        <v>26</v>
      </c>
      <c r="R82" t="s">
        <v>56</v>
      </c>
      <c r="S82">
        <v>4</v>
      </c>
    </row>
    <row r="83" spans="1:19" x14ac:dyDescent="0.2">
      <c r="A83">
        <v>18</v>
      </c>
      <c r="B83" s="3">
        <v>45260</v>
      </c>
      <c r="C83">
        <v>915</v>
      </c>
      <c r="D83">
        <v>3</v>
      </c>
      <c r="E83" t="s">
        <v>30</v>
      </c>
      <c r="F83" s="7">
        <v>5</v>
      </c>
      <c r="G83" s="7">
        <v>2.2000000000000002</v>
      </c>
      <c r="H83" s="10">
        <v>183</v>
      </c>
      <c r="I83" s="4">
        <f t="shared" si="3"/>
        <v>915</v>
      </c>
      <c r="J83" s="4">
        <f t="shared" si="4"/>
        <v>402.6</v>
      </c>
      <c r="K83" s="4">
        <f t="shared" si="5"/>
        <v>512.4</v>
      </c>
      <c r="L83">
        <v>4</v>
      </c>
      <c r="M83" t="s">
        <v>50</v>
      </c>
      <c r="N83" t="s">
        <v>53</v>
      </c>
      <c r="O83" t="s">
        <v>54</v>
      </c>
      <c r="P83">
        <v>11743</v>
      </c>
      <c r="Q83" t="s">
        <v>26</v>
      </c>
      <c r="R83" t="s">
        <v>56</v>
      </c>
      <c r="S83">
        <v>4</v>
      </c>
    </row>
    <row r="84" spans="1:19" x14ac:dyDescent="0.2">
      <c r="A84">
        <v>22</v>
      </c>
      <c r="B84" s="3">
        <v>45265</v>
      </c>
      <c r="C84">
        <v>1744</v>
      </c>
      <c r="D84">
        <v>2</v>
      </c>
      <c r="E84" t="s">
        <v>28</v>
      </c>
      <c r="F84" s="7">
        <v>1</v>
      </c>
      <c r="G84" s="7">
        <v>0.5</v>
      </c>
      <c r="H84" s="10">
        <v>141</v>
      </c>
      <c r="I84" s="4">
        <f t="shared" si="3"/>
        <v>141</v>
      </c>
      <c r="J84" s="4">
        <f t="shared" si="4"/>
        <v>70.5</v>
      </c>
      <c r="K84" s="4">
        <f t="shared" si="5"/>
        <v>70.5</v>
      </c>
      <c r="L84">
        <v>4</v>
      </c>
      <c r="M84" t="s">
        <v>50</v>
      </c>
      <c r="N84" t="s">
        <v>53</v>
      </c>
      <c r="O84" t="s">
        <v>54</v>
      </c>
      <c r="P84">
        <v>11743</v>
      </c>
      <c r="Q84" t="s">
        <v>26</v>
      </c>
      <c r="R84" t="s">
        <v>56</v>
      </c>
      <c r="S84">
        <v>4</v>
      </c>
    </row>
    <row r="85" spans="1:19" x14ac:dyDescent="0.2">
      <c r="A85">
        <v>22</v>
      </c>
      <c r="B85" s="3">
        <v>45266</v>
      </c>
      <c r="C85">
        <v>1744</v>
      </c>
      <c r="D85">
        <v>5</v>
      </c>
      <c r="E85" t="s">
        <v>29</v>
      </c>
      <c r="F85" s="7">
        <v>3</v>
      </c>
      <c r="G85" s="7">
        <v>1.25</v>
      </c>
      <c r="H85" s="10">
        <v>241</v>
      </c>
      <c r="I85" s="4">
        <f t="shared" si="3"/>
        <v>723</v>
      </c>
      <c r="J85" s="4">
        <f t="shared" si="4"/>
        <v>301.25</v>
      </c>
      <c r="K85" s="4">
        <f t="shared" si="5"/>
        <v>421.75</v>
      </c>
      <c r="L85">
        <v>4</v>
      </c>
      <c r="M85" t="s">
        <v>50</v>
      </c>
      <c r="N85" t="s">
        <v>53</v>
      </c>
      <c r="O85" t="s">
        <v>54</v>
      </c>
      <c r="P85">
        <v>11743</v>
      </c>
      <c r="Q85" t="s">
        <v>26</v>
      </c>
      <c r="R85" t="s">
        <v>56</v>
      </c>
      <c r="S85">
        <v>4</v>
      </c>
    </row>
    <row r="86" spans="1:19" x14ac:dyDescent="0.2">
      <c r="A86">
        <v>22</v>
      </c>
      <c r="B86" s="3">
        <v>45267</v>
      </c>
      <c r="C86">
        <v>1744</v>
      </c>
      <c r="D86">
        <v>3</v>
      </c>
      <c r="E86" t="s">
        <v>30</v>
      </c>
      <c r="F86" s="7">
        <v>5</v>
      </c>
      <c r="G86" s="7">
        <v>2.2000000000000002</v>
      </c>
      <c r="H86" s="10">
        <v>176</v>
      </c>
      <c r="I86" s="4">
        <f t="shared" si="3"/>
        <v>880</v>
      </c>
      <c r="J86" s="4">
        <f t="shared" si="4"/>
        <v>387.20000000000005</v>
      </c>
      <c r="K86" s="4">
        <f t="shared" si="5"/>
        <v>492.79999999999995</v>
      </c>
      <c r="L86">
        <v>4</v>
      </c>
      <c r="M86" t="s">
        <v>50</v>
      </c>
      <c r="N86" t="s">
        <v>53</v>
      </c>
      <c r="O86" t="s">
        <v>54</v>
      </c>
      <c r="P86">
        <v>11743</v>
      </c>
      <c r="Q86" t="s">
        <v>26</v>
      </c>
      <c r="R86" t="s">
        <v>56</v>
      </c>
      <c r="S86">
        <v>4</v>
      </c>
    </row>
    <row r="87" spans="1:19" x14ac:dyDescent="0.2">
      <c r="A87">
        <v>25</v>
      </c>
      <c r="B87" s="3">
        <v>45274</v>
      </c>
      <c r="C87">
        <v>1113</v>
      </c>
      <c r="D87">
        <v>2</v>
      </c>
      <c r="E87" t="s">
        <v>28</v>
      </c>
      <c r="F87" s="7">
        <v>1</v>
      </c>
      <c r="G87" s="7">
        <v>0.5</v>
      </c>
      <c r="H87" s="10">
        <v>239</v>
      </c>
      <c r="I87" s="4">
        <f t="shared" si="3"/>
        <v>239</v>
      </c>
      <c r="J87" s="4">
        <f t="shared" si="4"/>
        <v>119.5</v>
      </c>
      <c r="K87" s="4">
        <f t="shared" si="5"/>
        <v>119.5</v>
      </c>
      <c r="L87">
        <v>4</v>
      </c>
      <c r="M87" t="s">
        <v>50</v>
      </c>
      <c r="N87" t="s">
        <v>53</v>
      </c>
      <c r="O87" t="s">
        <v>54</v>
      </c>
      <c r="P87">
        <v>11743</v>
      </c>
      <c r="Q87" t="s">
        <v>26</v>
      </c>
      <c r="R87" t="s">
        <v>56</v>
      </c>
      <c r="S87">
        <v>4</v>
      </c>
    </row>
    <row r="88" spans="1:19" x14ac:dyDescent="0.2">
      <c r="A88">
        <v>25</v>
      </c>
      <c r="B88" s="3">
        <v>45275</v>
      </c>
      <c r="C88">
        <v>1113</v>
      </c>
      <c r="D88">
        <v>3</v>
      </c>
      <c r="E88" t="s">
        <v>30</v>
      </c>
      <c r="F88" s="7">
        <v>5</v>
      </c>
      <c r="G88" s="7">
        <v>2.2000000000000002</v>
      </c>
      <c r="H88" s="10">
        <v>42</v>
      </c>
      <c r="I88" s="4">
        <f t="shared" si="3"/>
        <v>210</v>
      </c>
      <c r="J88" s="4">
        <f t="shared" si="4"/>
        <v>92.4</v>
      </c>
      <c r="K88" s="4">
        <f t="shared" si="5"/>
        <v>117.6</v>
      </c>
      <c r="L88">
        <v>4</v>
      </c>
      <c r="M88" t="s">
        <v>50</v>
      </c>
      <c r="N88" t="s">
        <v>53</v>
      </c>
      <c r="O88" t="s">
        <v>54</v>
      </c>
      <c r="P88">
        <v>11743</v>
      </c>
      <c r="Q88" t="s">
        <v>26</v>
      </c>
      <c r="R88" t="s">
        <v>56</v>
      </c>
      <c r="S88">
        <v>4</v>
      </c>
    </row>
    <row r="89" spans="1:19" x14ac:dyDescent="0.2">
      <c r="A89">
        <v>25</v>
      </c>
      <c r="B89" s="3">
        <v>45276</v>
      </c>
      <c r="C89">
        <v>1113</v>
      </c>
      <c r="D89">
        <v>4</v>
      </c>
      <c r="E89" t="s">
        <v>31</v>
      </c>
      <c r="F89" s="7">
        <v>4</v>
      </c>
      <c r="G89" s="7">
        <v>1.5</v>
      </c>
      <c r="H89" s="10">
        <v>166</v>
      </c>
      <c r="I89" s="4">
        <f t="shared" si="3"/>
        <v>664</v>
      </c>
      <c r="J89" s="4">
        <f t="shared" si="4"/>
        <v>249</v>
      </c>
      <c r="K89" s="4">
        <f t="shared" si="5"/>
        <v>415</v>
      </c>
      <c r="L89">
        <v>4</v>
      </c>
      <c r="M89" t="s">
        <v>50</v>
      </c>
      <c r="N89" t="s">
        <v>53</v>
      </c>
      <c r="O89" t="s">
        <v>54</v>
      </c>
      <c r="P89">
        <v>11743</v>
      </c>
      <c r="Q89" t="s">
        <v>26</v>
      </c>
      <c r="R89" t="s">
        <v>56</v>
      </c>
      <c r="S89">
        <v>4</v>
      </c>
    </row>
    <row r="90" spans="1:19" x14ac:dyDescent="0.2">
      <c r="A90">
        <v>28</v>
      </c>
      <c r="B90" s="3">
        <v>45280</v>
      </c>
      <c r="C90">
        <v>2060</v>
      </c>
      <c r="D90">
        <v>6</v>
      </c>
      <c r="E90" t="s">
        <v>32</v>
      </c>
      <c r="F90" s="7">
        <v>6</v>
      </c>
      <c r="G90" s="7">
        <v>2.75</v>
      </c>
      <c r="H90" s="10">
        <v>168</v>
      </c>
      <c r="I90" s="4">
        <f t="shared" si="3"/>
        <v>1008</v>
      </c>
      <c r="J90" s="4">
        <f t="shared" si="4"/>
        <v>462</v>
      </c>
      <c r="K90" s="4">
        <f t="shared" si="5"/>
        <v>546</v>
      </c>
      <c r="L90">
        <v>4</v>
      </c>
      <c r="M90" t="s">
        <v>50</v>
      </c>
      <c r="N90" t="s">
        <v>53</v>
      </c>
      <c r="O90" t="s">
        <v>54</v>
      </c>
      <c r="P90">
        <v>11743</v>
      </c>
      <c r="Q90" t="s">
        <v>26</v>
      </c>
      <c r="R90" t="s">
        <v>56</v>
      </c>
      <c r="S90">
        <v>4</v>
      </c>
    </row>
    <row r="91" spans="1:19" x14ac:dyDescent="0.2">
      <c r="A91">
        <v>28</v>
      </c>
      <c r="B91" s="3">
        <v>45281</v>
      </c>
      <c r="C91">
        <v>2060</v>
      </c>
      <c r="D91">
        <v>4</v>
      </c>
      <c r="E91" t="s">
        <v>31</v>
      </c>
      <c r="F91" s="7">
        <v>4</v>
      </c>
      <c r="G91" s="7">
        <v>1.5</v>
      </c>
      <c r="H91" s="10">
        <v>134</v>
      </c>
      <c r="I91" s="4">
        <f t="shared" si="3"/>
        <v>536</v>
      </c>
      <c r="J91" s="4">
        <f t="shared" si="4"/>
        <v>201</v>
      </c>
      <c r="K91" s="4">
        <f t="shared" si="5"/>
        <v>335</v>
      </c>
      <c r="L91">
        <v>4</v>
      </c>
      <c r="M91" t="s">
        <v>50</v>
      </c>
      <c r="N91" t="s">
        <v>53</v>
      </c>
      <c r="O91" t="s">
        <v>54</v>
      </c>
      <c r="P91">
        <v>11743</v>
      </c>
      <c r="Q91" t="s">
        <v>26</v>
      </c>
      <c r="R91" t="s">
        <v>56</v>
      </c>
      <c r="S91">
        <v>4</v>
      </c>
    </row>
    <row r="92" spans="1:19" x14ac:dyDescent="0.2">
      <c r="A92">
        <v>28</v>
      </c>
      <c r="B92" s="3">
        <v>45282</v>
      </c>
      <c r="C92">
        <v>2060</v>
      </c>
      <c r="D92">
        <v>5</v>
      </c>
      <c r="E92" t="s">
        <v>29</v>
      </c>
      <c r="F92" s="7">
        <v>3</v>
      </c>
      <c r="G92" s="7">
        <v>1.25</v>
      </c>
      <c r="H92" s="10">
        <v>172</v>
      </c>
      <c r="I92" s="4">
        <f t="shared" si="3"/>
        <v>516</v>
      </c>
      <c r="J92" s="4">
        <f t="shared" si="4"/>
        <v>215</v>
      </c>
      <c r="K92" s="4">
        <f t="shared" si="5"/>
        <v>301</v>
      </c>
      <c r="L92">
        <v>4</v>
      </c>
      <c r="M92" t="s">
        <v>50</v>
      </c>
      <c r="N92" t="s">
        <v>53</v>
      </c>
      <c r="O92" t="s">
        <v>54</v>
      </c>
      <c r="P92">
        <v>11743</v>
      </c>
      <c r="Q92" t="s">
        <v>26</v>
      </c>
      <c r="R92" t="s">
        <v>56</v>
      </c>
      <c r="S92">
        <v>4</v>
      </c>
    </row>
    <row r="93" spans="1:19" x14ac:dyDescent="0.2">
      <c r="A93">
        <v>36</v>
      </c>
      <c r="B93" s="3">
        <v>45305</v>
      </c>
      <c r="C93">
        <v>1391</v>
      </c>
      <c r="D93">
        <v>1</v>
      </c>
      <c r="E93" t="s">
        <v>18</v>
      </c>
      <c r="F93" s="7">
        <v>5</v>
      </c>
      <c r="G93" s="7">
        <v>2</v>
      </c>
      <c r="H93" s="10">
        <v>116</v>
      </c>
      <c r="I93" s="4">
        <f t="shared" si="3"/>
        <v>580</v>
      </c>
      <c r="J93" s="4">
        <f t="shared" si="4"/>
        <v>232</v>
      </c>
      <c r="K93" s="4">
        <f t="shared" si="5"/>
        <v>348</v>
      </c>
      <c r="L93">
        <v>4</v>
      </c>
      <c r="M93" t="s">
        <v>50</v>
      </c>
      <c r="N93" t="s">
        <v>53</v>
      </c>
      <c r="O93" t="s">
        <v>54</v>
      </c>
      <c r="P93">
        <v>11743</v>
      </c>
      <c r="Q93" t="s">
        <v>26</v>
      </c>
      <c r="R93" t="s">
        <v>56</v>
      </c>
      <c r="S93">
        <v>4</v>
      </c>
    </row>
    <row r="94" spans="1:19" x14ac:dyDescent="0.2">
      <c r="A94">
        <v>36</v>
      </c>
      <c r="B94" s="3">
        <v>45306</v>
      </c>
      <c r="C94">
        <v>1391</v>
      </c>
      <c r="D94">
        <v>4</v>
      </c>
      <c r="E94" t="s">
        <v>31</v>
      </c>
      <c r="F94" s="7">
        <v>4</v>
      </c>
      <c r="G94" s="7">
        <v>1.5</v>
      </c>
      <c r="H94" s="10">
        <v>127</v>
      </c>
      <c r="I94" s="4">
        <f t="shared" si="3"/>
        <v>508</v>
      </c>
      <c r="J94" s="4">
        <f t="shared" si="4"/>
        <v>190.5</v>
      </c>
      <c r="K94" s="4">
        <f t="shared" si="5"/>
        <v>317.5</v>
      </c>
      <c r="L94">
        <v>4</v>
      </c>
      <c r="M94" t="s">
        <v>50</v>
      </c>
      <c r="N94" t="s">
        <v>53</v>
      </c>
      <c r="O94" t="s">
        <v>54</v>
      </c>
      <c r="P94">
        <v>11743</v>
      </c>
      <c r="Q94" t="s">
        <v>26</v>
      </c>
      <c r="R94" t="s">
        <v>56</v>
      </c>
      <c r="S94">
        <v>4</v>
      </c>
    </row>
    <row r="95" spans="1:19" x14ac:dyDescent="0.2">
      <c r="A95">
        <v>36</v>
      </c>
      <c r="B95" s="3">
        <v>45307</v>
      </c>
      <c r="C95">
        <v>1391</v>
      </c>
      <c r="D95">
        <v>5</v>
      </c>
      <c r="E95" t="s">
        <v>29</v>
      </c>
      <c r="F95" s="7">
        <v>3</v>
      </c>
      <c r="G95" s="7">
        <v>1.25</v>
      </c>
      <c r="H95" s="10">
        <v>101</v>
      </c>
      <c r="I95" s="4">
        <f t="shared" si="3"/>
        <v>303</v>
      </c>
      <c r="J95" s="4">
        <f t="shared" si="4"/>
        <v>126.25</v>
      </c>
      <c r="K95" s="4">
        <f t="shared" si="5"/>
        <v>176.75</v>
      </c>
      <c r="L95">
        <v>4</v>
      </c>
      <c r="M95" t="s">
        <v>50</v>
      </c>
      <c r="N95" t="s">
        <v>53</v>
      </c>
      <c r="O95" t="s">
        <v>54</v>
      </c>
      <c r="P95">
        <v>11743</v>
      </c>
      <c r="Q95" t="s">
        <v>26</v>
      </c>
      <c r="R95" t="s">
        <v>56</v>
      </c>
      <c r="S95">
        <v>4</v>
      </c>
    </row>
    <row r="96" spans="1:19" x14ac:dyDescent="0.2">
      <c r="A96">
        <v>48</v>
      </c>
      <c r="B96" s="3">
        <v>45335</v>
      </c>
      <c r="C96">
        <v>655</v>
      </c>
      <c r="D96">
        <v>3</v>
      </c>
      <c r="E96" t="s">
        <v>30</v>
      </c>
      <c r="F96" s="7">
        <v>5</v>
      </c>
      <c r="G96" s="7">
        <v>2.2000000000000002</v>
      </c>
      <c r="H96" s="10">
        <v>131</v>
      </c>
      <c r="I96" s="4">
        <f t="shared" si="3"/>
        <v>655</v>
      </c>
      <c r="J96" s="4">
        <f t="shared" si="4"/>
        <v>288.20000000000005</v>
      </c>
      <c r="K96" s="4">
        <f t="shared" si="5"/>
        <v>366.79999999999995</v>
      </c>
      <c r="L96">
        <v>4</v>
      </c>
      <c r="M96" t="s">
        <v>50</v>
      </c>
      <c r="N96" t="s">
        <v>53</v>
      </c>
      <c r="O96" t="s">
        <v>54</v>
      </c>
      <c r="P96">
        <v>11743</v>
      </c>
      <c r="Q96" t="s">
        <v>26</v>
      </c>
      <c r="R96" t="s">
        <v>56</v>
      </c>
      <c r="S96">
        <v>4</v>
      </c>
    </row>
    <row r="97" spans="1:19" x14ac:dyDescent="0.2">
      <c r="A97">
        <v>50</v>
      </c>
      <c r="B97" s="3">
        <v>45337</v>
      </c>
      <c r="C97">
        <v>180</v>
      </c>
      <c r="D97">
        <v>6</v>
      </c>
      <c r="E97" t="s">
        <v>32</v>
      </c>
      <c r="F97" s="7">
        <v>6</v>
      </c>
      <c r="G97" s="7">
        <v>2.75</v>
      </c>
      <c r="H97" s="10">
        <v>30</v>
      </c>
      <c r="I97" s="4">
        <f t="shared" si="3"/>
        <v>180</v>
      </c>
      <c r="J97" s="4">
        <f t="shared" si="4"/>
        <v>82.5</v>
      </c>
      <c r="K97" s="4">
        <f t="shared" si="5"/>
        <v>97.5</v>
      </c>
      <c r="L97">
        <v>4</v>
      </c>
      <c r="M97" t="s">
        <v>50</v>
      </c>
      <c r="N97" t="s">
        <v>53</v>
      </c>
      <c r="O97" t="s">
        <v>54</v>
      </c>
      <c r="P97">
        <v>11743</v>
      </c>
      <c r="Q97" t="s">
        <v>26</v>
      </c>
      <c r="R97" t="s">
        <v>56</v>
      </c>
      <c r="S97">
        <v>4</v>
      </c>
    </row>
    <row r="98" spans="1:19" x14ac:dyDescent="0.2">
      <c r="A98">
        <v>1</v>
      </c>
      <c r="B98" s="3">
        <v>45206</v>
      </c>
      <c r="C98">
        <v>1815</v>
      </c>
      <c r="D98">
        <v>1</v>
      </c>
      <c r="E98" t="s">
        <v>18</v>
      </c>
      <c r="F98" s="7">
        <v>5</v>
      </c>
      <c r="G98" s="7">
        <v>2</v>
      </c>
      <c r="H98" s="10">
        <v>229</v>
      </c>
      <c r="I98" s="4">
        <f t="shared" si="3"/>
        <v>1145</v>
      </c>
      <c r="J98" s="4">
        <f t="shared" si="4"/>
        <v>458</v>
      </c>
      <c r="K98" s="4">
        <f t="shared" si="5"/>
        <v>687</v>
      </c>
      <c r="L98">
        <v>5</v>
      </c>
      <c r="M98" t="s">
        <v>20</v>
      </c>
      <c r="N98" t="s">
        <v>23</v>
      </c>
      <c r="O98" t="s">
        <v>24</v>
      </c>
      <c r="P98">
        <v>36602</v>
      </c>
      <c r="Q98" t="s">
        <v>26</v>
      </c>
      <c r="R98" t="s">
        <v>27</v>
      </c>
      <c r="S98">
        <v>5</v>
      </c>
    </row>
    <row r="99" spans="1:19" x14ac:dyDescent="0.2">
      <c r="A99">
        <v>1</v>
      </c>
      <c r="B99" s="3">
        <v>45207</v>
      </c>
      <c r="C99">
        <v>1815</v>
      </c>
      <c r="D99">
        <v>2</v>
      </c>
      <c r="E99" t="s">
        <v>28</v>
      </c>
      <c r="F99" s="7">
        <v>1</v>
      </c>
      <c r="G99" s="7">
        <v>0.5</v>
      </c>
      <c r="H99" s="10">
        <v>160</v>
      </c>
      <c r="I99" s="4">
        <f t="shared" si="3"/>
        <v>160</v>
      </c>
      <c r="J99" s="4">
        <f t="shared" si="4"/>
        <v>80</v>
      </c>
      <c r="K99" s="4">
        <f t="shared" si="5"/>
        <v>80</v>
      </c>
      <c r="L99">
        <v>5</v>
      </c>
      <c r="M99" t="s">
        <v>20</v>
      </c>
      <c r="N99" t="s">
        <v>23</v>
      </c>
      <c r="O99" t="s">
        <v>24</v>
      </c>
      <c r="P99">
        <v>36602</v>
      </c>
      <c r="Q99" t="s">
        <v>26</v>
      </c>
      <c r="R99" t="s">
        <v>27</v>
      </c>
      <c r="S99">
        <v>5</v>
      </c>
    </row>
    <row r="100" spans="1:19" x14ac:dyDescent="0.2">
      <c r="A100">
        <v>1</v>
      </c>
      <c r="B100" s="3">
        <v>45208</v>
      </c>
      <c r="C100">
        <v>1815</v>
      </c>
      <c r="D100">
        <v>5</v>
      </c>
      <c r="E100" t="s">
        <v>29</v>
      </c>
      <c r="F100" s="7">
        <v>3</v>
      </c>
      <c r="G100" s="7">
        <v>1.25</v>
      </c>
      <c r="H100" s="10">
        <v>30</v>
      </c>
      <c r="I100" s="4">
        <f t="shared" si="3"/>
        <v>90</v>
      </c>
      <c r="J100" s="4">
        <f t="shared" si="4"/>
        <v>37.5</v>
      </c>
      <c r="K100" s="4">
        <f t="shared" si="5"/>
        <v>52.5</v>
      </c>
      <c r="L100">
        <v>5</v>
      </c>
      <c r="M100" t="s">
        <v>20</v>
      </c>
      <c r="N100" t="s">
        <v>23</v>
      </c>
      <c r="O100" t="s">
        <v>24</v>
      </c>
      <c r="P100">
        <v>36602</v>
      </c>
      <c r="Q100" t="s">
        <v>26</v>
      </c>
      <c r="R100" t="s">
        <v>27</v>
      </c>
      <c r="S100">
        <v>5</v>
      </c>
    </row>
    <row r="101" spans="1:19" x14ac:dyDescent="0.2">
      <c r="A101">
        <v>1</v>
      </c>
      <c r="B101" s="3">
        <v>45209</v>
      </c>
      <c r="C101">
        <v>1815</v>
      </c>
      <c r="D101">
        <v>3</v>
      </c>
      <c r="E101" t="s">
        <v>30</v>
      </c>
      <c r="F101" s="7">
        <v>5</v>
      </c>
      <c r="G101" s="7">
        <v>2.2000000000000002</v>
      </c>
      <c r="H101" s="10">
        <v>84</v>
      </c>
      <c r="I101" s="4">
        <f t="shared" si="3"/>
        <v>420</v>
      </c>
      <c r="J101" s="4">
        <f t="shared" si="4"/>
        <v>184.8</v>
      </c>
      <c r="K101" s="4">
        <f t="shared" si="5"/>
        <v>235.2</v>
      </c>
      <c r="L101">
        <v>5</v>
      </c>
      <c r="M101" t="s">
        <v>20</v>
      </c>
      <c r="N101" t="s">
        <v>23</v>
      </c>
      <c r="O101" t="s">
        <v>24</v>
      </c>
      <c r="P101">
        <v>36602</v>
      </c>
      <c r="Q101" t="s">
        <v>26</v>
      </c>
      <c r="R101" t="s">
        <v>27</v>
      </c>
      <c r="S101">
        <v>5</v>
      </c>
    </row>
    <row r="102" spans="1:19" x14ac:dyDescent="0.2">
      <c r="A102">
        <v>2</v>
      </c>
      <c r="B102" s="3">
        <v>45210</v>
      </c>
      <c r="C102">
        <v>964</v>
      </c>
      <c r="D102">
        <v>4</v>
      </c>
      <c r="E102" t="s">
        <v>31</v>
      </c>
      <c r="F102" s="7">
        <v>4</v>
      </c>
      <c r="G102" s="7">
        <v>1.5</v>
      </c>
      <c r="H102" s="10">
        <v>49</v>
      </c>
      <c r="I102" s="4">
        <f t="shared" si="3"/>
        <v>196</v>
      </c>
      <c r="J102" s="4">
        <f t="shared" si="4"/>
        <v>73.5</v>
      </c>
      <c r="K102" s="4">
        <f t="shared" si="5"/>
        <v>122.5</v>
      </c>
      <c r="L102">
        <v>5</v>
      </c>
      <c r="M102" t="s">
        <v>20</v>
      </c>
      <c r="N102" t="s">
        <v>23</v>
      </c>
      <c r="O102" t="s">
        <v>24</v>
      </c>
      <c r="P102">
        <v>36602</v>
      </c>
      <c r="Q102" t="s">
        <v>26</v>
      </c>
      <c r="R102" t="s">
        <v>27</v>
      </c>
      <c r="S102">
        <v>5</v>
      </c>
    </row>
    <row r="103" spans="1:19" x14ac:dyDescent="0.2">
      <c r="A103">
        <v>2</v>
      </c>
      <c r="B103" s="3">
        <v>45211</v>
      </c>
      <c r="C103">
        <v>964</v>
      </c>
      <c r="D103">
        <v>6</v>
      </c>
      <c r="E103" t="s">
        <v>32</v>
      </c>
      <c r="F103" s="7">
        <v>6</v>
      </c>
      <c r="G103" s="7">
        <v>2.75</v>
      </c>
      <c r="H103" s="10">
        <v>128</v>
      </c>
      <c r="I103" s="4">
        <f t="shared" si="3"/>
        <v>768</v>
      </c>
      <c r="J103" s="4">
        <f t="shared" si="4"/>
        <v>352</v>
      </c>
      <c r="K103" s="4">
        <f t="shared" si="5"/>
        <v>416</v>
      </c>
      <c r="L103">
        <v>5</v>
      </c>
      <c r="M103" t="s">
        <v>20</v>
      </c>
      <c r="N103" t="s">
        <v>23</v>
      </c>
      <c r="O103" t="s">
        <v>24</v>
      </c>
      <c r="P103">
        <v>36602</v>
      </c>
      <c r="Q103" t="s">
        <v>26</v>
      </c>
      <c r="R103" t="s">
        <v>27</v>
      </c>
      <c r="S103">
        <v>5</v>
      </c>
    </row>
    <row r="104" spans="1:19" x14ac:dyDescent="0.2">
      <c r="A104">
        <v>8</v>
      </c>
      <c r="B104" s="3">
        <v>45228</v>
      </c>
      <c r="C104">
        <v>2424</v>
      </c>
      <c r="D104">
        <v>2</v>
      </c>
      <c r="E104" t="s">
        <v>28</v>
      </c>
      <c r="F104" s="7">
        <v>1</v>
      </c>
      <c r="G104" s="7">
        <v>0.5</v>
      </c>
      <c r="H104" s="10">
        <v>114</v>
      </c>
      <c r="I104" s="4">
        <f t="shared" si="3"/>
        <v>114</v>
      </c>
      <c r="J104" s="4">
        <f t="shared" si="4"/>
        <v>57</v>
      </c>
      <c r="K104" s="4">
        <f t="shared" si="5"/>
        <v>57</v>
      </c>
      <c r="L104">
        <v>5</v>
      </c>
      <c r="M104" t="s">
        <v>20</v>
      </c>
      <c r="N104" t="s">
        <v>23</v>
      </c>
      <c r="O104" t="s">
        <v>24</v>
      </c>
      <c r="P104">
        <v>36602</v>
      </c>
      <c r="Q104" t="s">
        <v>26</v>
      </c>
      <c r="R104" t="s">
        <v>27</v>
      </c>
      <c r="S104">
        <v>5</v>
      </c>
    </row>
    <row r="105" spans="1:19" x14ac:dyDescent="0.2">
      <c r="A105">
        <v>8</v>
      </c>
      <c r="B105" s="3">
        <v>45229</v>
      </c>
      <c r="C105">
        <v>2424</v>
      </c>
      <c r="D105">
        <v>5</v>
      </c>
      <c r="E105" t="s">
        <v>29</v>
      </c>
      <c r="F105" s="7">
        <v>3</v>
      </c>
      <c r="G105" s="7">
        <v>1.25</v>
      </c>
      <c r="H105" s="10">
        <v>106</v>
      </c>
      <c r="I105" s="4">
        <f t="shared" si="3"/>
        <v>318</v>
      </c>
      <c r="J105" s="4">
        <f t="shared" si="4"/>
        <v>132.5</v>
      </c>
      <c r="K105" s="4">
        <f t="shared" si="5"/>
        <v>185.5</v>
      </c>
      <c r="L105">
        <v>5</v>
      </c>
      <c r="M105" t="s">
        <v>20</v>
      </c>
      <c r="N105" t="s">
        <v>23</v>
      </c>
      <c r="O105" t="s">
        <v>24</v>
      </c>
      <c r="P105">
        <v>36602</v>
      </c>
      <c r="Q105" t="s">
        <v>26</v>
      </c>
      <c r="R105" t="s">
        <v>27</v>
      </c>
      <c r="S105">
        <v>5</v>
      </c>
    </row>
    <row r="106" spans="1:19" x14ac:dyDescent="0.2">
      <c r="A106">
        <v>8</v>
      </c>
      <c r="B106" s="3">
        <v>45230</v>
      </c>
      <c r="C106">
        <v>2424</v>
      </c>
      <c r="D106">
        <v>6</v>
      </c>
      <c r="E106" t="s">
        <v>32</v>
      </c>
      <c r="F106" s="7">
        <v>6</v>
      </c>
      <c r="G106" s="7">
        <v>2.75</v>
      </c>
      <c r="H106" s="10">
        <v>178</v>
      </c>
      <c r="I106" s="4">
        <f t="shared" si="3"/>
        <v>1068</v>
      </c>
      <c r="J106" s="4">
        <f t="shared" si="4"/>
        <v>489.5</v>
      </c>
      <c r="K106" s="4">
        <f t="shared" si="5"/>
        <v>578.5</v>
      </c>
      <c r="L106">
        <v>5</v>
      </c>
      <c r="M106" t="s">
        <v>20</v>
      </c>
      <c r="N106" t="s">
        <v>23</v>
      </c>
      <c r="O106" t="s">
        <v>24</v>
      </c>
      <c r="P106">
        <v>36602</v>
      </c>
      <c r="Q106" t="s">
        <v>26</v>
      </c>
      <c r="R106" t="s">
        <v>27</v>
      </c>
      <c r="S106">
        <v>5</v>
      </c>
    </row>
    <row r="107" spans="1:19" x14ac:dyDescent="0.2">
      <c r="A107">
        <v>8</v>
      </c>
      <c r="B107" s="3">
        <v>45231</v>
      </c>
      <c r="C107">
        <v>2424</v>
      </c>
      <c r="D107">
        <v>3</v>
      </c>
      <c r="E107" t="s">
        <v>30</v>
      </c>
      <c r="F107" s="7">
        <v>5</v>
      </c>
      <c r="G107" s="7">
        <v>2.2000000000000002</v>
      </c>
      <c r="H107" s="10">
        <v>36</v>
      </c>
      <c r="I107" s="4">
        <f t="shared" si="3"/>
        <v>180</v>
      </c>
      <c r="J107" s="4">
        <f t="shared" si="4"/>
        <v>79.2</v>
      </c>
      <c r="K107" s="4">
        <f t="shared" si="5"/>
        <v>100.8</v>
      </c>
      <c r="L107">
        <v>5</v>
      </c>
      <c r="M107" t="s">
        <v>20</v>
      </c>
      <c r="N107" t="s">
        <v>23</v>
      </c>
      <c r="O107" t="s">
        <v>24</v>
      </c>
      <c r="P107">
        <v>36602</v>
      </c>
      <c r="Q107" t="s">
        <v>26</v>
      </c>
      <c r="R107" t="s">
        <v>27</v>
      </c>
      <c r="S107">
        <v>5</v>
      </c>
    </row>
    <row r="108" spans="1:19" x14ac:dyDescent="0.2">
      <c r="A108">
        <v>8</v>
      </c>
      <c r="B108" s="3">
        <v>45232</v>
      </c>
      <c r="C108">
        <v>2424</v>
      </c>
      <c r="D108">
        <v>4</v>
      </c>
      <c r="E108" t="s">
        <v>31</v>
      </c>
      <c r="F108" s="7">
        <v>4</v>
      </c>
      <c r="G108" s="7">
        <v>1.5</v>
      </c>
      <c r="H108" s="10">
        <v>186</v>
      </c>
      <c r="I108" s="4">
        <f t="shared" si="3"/>
        <v>744</v>
      </c>
      <c r="J108" s="4">
        <f t="shared" si="4"/>
        <v>279</v>
      </c>
      <c r="K108" s="4">
        <f t="shared" si="5"/>
        <v>465</v>
      </c>
      <c r="L108">
        <v>5</v>
      </c>
      <c r="M108" t="s">
        <v>20</v>
      </c>
      <c r="N108" t="s">
        <v>23</v>
      </c>
      <c r="O108" t="s">
        <v>24</v>
      </c>
      <c r="P108">
        <v>36602</v>
      </c>
      <c r="Q108" t="s">
        <v>26</v>
      </c>
      <c r="R108" t="s">
        <v>27</v>
      </c>
      <c r="S108">
        <v>5</v>
      </c>
    </row>
    <row r="109" spans="1:19" x14ac:dyDescent="0.2">
      <c r="A109">
        <v>11</v>
      </c>
      <c r="B109" s="3">
        <v>45238</v>
      </c>
      <c r="C109">
        <v>1383</v>
      </c>
      <c r="D109">
        <v>6</v>
      </c>
      <c r="E109" t="s">
        <v>32</v>
      </c>
      <c r="F109" s="7">
        <v>6</v>
      </c>
      <c r="G109" s="7">
        <v>2.75</v>
      </c>
      <c r="H109" s="10">
        <v>65</v>
      </c>
      <c r="I109" s="4">
        <f t="shared" si="3"/>
        <v>390</v>
      </c>
      <c r="J109" s="4">
        <f t="shared" si="4"/>
        <v>178.75</v>
      </c>
      <c r="K109" s="4">
        <f t="shared" si="5"/>
        <v>211.25</v>
      </c>
      <c r="L109">
        <v>5</v>
      </c>
      <c r="M109" t="s">
        <v>20</v>
      </c>
      <c r="N109" t="s">
        <v>23</v>
      </c>
      <c r="O109" t="s">
        <v>24</v>
      </c>
      <c r="P109">
        <v>36602</v>
      </c>
      <c r="Q109" t="s">
        <v>26</v>
      </c>
      <c r="R109" t="s">
        <v>27</v>
      </c>
      <c r="S109">
        <v>5</v>
      </c>
    </row>
    <row r="110" spans="1:19" x14ac:dyDescent="0.2">
      <c r="A110">
        <v>11</v>
      </c>
      <c r="B110" s="3">
        <v>45239</v>
      </c>
      <c r="C110">
        <v>1383</v>
      </c>
      <c r="D110">
        <v>4</v>
      </c>
      <c r="E110" t="s">
        <v>31</v>
      </c>
      <c r="F110" s="7">
        <v>4</v>
      </c>
      <c r="G110" s="7">
        <v>1.5</v>
      </c>
      <c r="H110" s="10">
        <v>235</v>
      </c>
      <c r="I110" s="4">
        <f t="shared" si="3"/>
        <v>940</v>
      </c>
      <c r="J110" s="4">
        <f t="shared" si="4"/>
        <v>352.5</v>
      </c>
      <c r="K110" s="4">
        <f t="shared" si="5"/>
        <v>587.5</v>
      </c>
      <c r="L110">
        <v>5</v>
      </c>
      <c r="M110" t="s">
        <v>20</v>
      </c>
      <c r="N110" t="s">
        <v>23</v>
      </c>
      <c r="O110" t="s">
        <v>24</v>
      </c>
      <c r="P110">
        <v>36602</v>
      </c>
      <c r="Q110" t="s">
        <v>26</v>
      </c>
      <c r="R110" t="s">
        <v>27</v>
      </c>
      <c r="S110">
        <v>5</v>
      </c>
    </row>
    <row r="111" spans="1:19" x14ac:dyDescent="0.2">
      <c r="A111">
        <v>11</v>
      </c>
      <c r="B111" s="3">
        <v>45240</v>
      </c>
      <c r="C111">
        <v>1383</v>
      </c>
      <c r="D111">
        <v>2</v>
      </c>
      <c r="E111" t="s">
        <v>28</v>
      </c>
      <c r="F111" s="7">
        <v>1</v>
      </c>
      <c r="G111" s="7">
        <v>0.5</v>
      </c>
      <c r="H111" s="10">
        <v>53</v>
      </c>
      <c r="I111" s="4">
        <f t="shared" si="3"/>
        <v>53</v>
      </c>
      <c r="J111" s="4">
        <f t="shared" si="4"/>
        <v>26.5</v>
      </c>
      <c r="K111" s="4">
        <f t="shared" si="5"/>
        <v>26.5</v>
      </c>
      <c r="L111">
        <v>5</v>
      </c>
      <c r="M111" t="s">
        <v>20</v>
      </c>
      <c r="N111" t="s">
        <v>23</v>
      </c>
      <c r="O111" t="s">
        <v>24</v>
      </c>
      <c r="P111">
        <v>36602</v>
      </c>
      <c r="Q111" t="s">
        <v>26</v>
      </c>
      <c r="R111" t="s">
        <v>27</v>
      </c>
      <c r="S111">
        <v>5</v>
      </c>
    </row>
    <row r="112" spans="1:19" x14ac:dyDescent="0.2">
      <c r="A112">
        <v>21</v>
      </c>
      <c r="B112" s="3">
        <v>45264</v>
      </c>
      <c r="C112">
        <v>74</v>
      </c>
      <c r="D112">
        <v>2</v>
      </c>
      <c r="E112" t="s">
        <v>28</v>
      </c>
      <c r="F112" s="7">
        <v>1</v>
      </c>
      <c r="G112" s="7">
        <v>0.5</v>
      </c>
      <c r="H112" s="10">
        <v>74</v>
      </c>
      <c r="I112" s="4">
        <f t="shared" si="3"/>
        <v>74</v>
      </c>
      <c r="J112" s="4">
        <f t="shared" si="4"/>
        <v>37</v>
      </c>
      <c r="K112" s="4">
        <f t="shared" si="5"/>
        <v>37</v>
      </c>
      <c r="L112">
        <v>5</v>
      </c>
      <c r="M112" t="s">
        <v>20</v>
      </c>
      <c r="N112" t="s">
        <v>23</v>
      </c>
      <c r="O112" t="s">
        <v>24</v>
      </c>
      <c r="P112">
        <v>36602</v>
      </c>
      <c r="Q112" t="s">
        <v>26</v>
      </c>
      <c r="R112" t="s">
        <v>27</v>
      </c>
      <c r="S112">
        <v>5</v>
      </c>
    </row>
    <row r="113" spans="1:19" x14ac:dyDescent="0.2">
      <c r="A113">
        <v>29</v>
      </c>
      <c r="B113" s="3">
        <v>45283</v>
      </c>
      <c r="C113">
        <v>1263</v>
      </c>
      <c r="D113">
        <v>4</v>
      </c>
      <c r="E113" t="s">
        <v>31</v>
      </c>
      <c r="F113" s="7">
        <v>4</v>
      </c>
      <c r="G113" s="7">
        <v>1.5</v>
      </c>
      <c r="H113" s="10">
        <v>80</v>
      </c>
      <c r="I113" s="4">
        <f t="shared" si="3"/>
        <v>320</v>
      </c>
      <c r="J113" s="4">
        <f t="shared" si="4"/>
        <v>120</v>
      </c>
      <c r="K113" s="4">
        <f t="shared" si="5"/>
        <v>200</v>
      </c>
      <c r="L113">
        <v>5</v>
      </c>
      <c r="M113" t="s">
        <v>20</v>
      </c>
      <c r="N113" t="s">
        <v>23</v>
      </c>
      <c r="O113" t="s">
        <v>24</v>
      </c>
      <c r="P113">
        <v>36602</v>
      </c>
      <c r="Q113" t="s">
        <v>26</v>
      </c>
      <c r="R113" t="s">
        <v>27</v>
      </c>
      <c r="S113">
        <v>5</v>
      </c>
    </row>
    <row r="114" spans="1:19" x14ac:dyDescent="0.2">
      <c r="A114">
        <v>29</v>
      </c>
      <c r="B114" s="3">
        <v>45284</v>
      </c>
      <c r="C114">
        <v>1263</v>
      </c>
      <c r="D114">
        <v>5</v>
      </c>
      <c r="E114" t="s">
        <v>29</v>
      </c>
      <c r="F114" s="7">
        <v>3</v>
      </c>
      <c r="G114" s="7">
        <v>1.25</v>
      </c>
      <c r="H114" s="10">
        <v>94</v>
      </c>
      <c r="I114" s="4">
        <f t="shared" si="3"/>
        <v>282</v>
      </c>
      <c r="J114" s="4">
        <f t="shared" si="4"/>
        <v>117.5</v>
      </c>
      <c r="K114" s="4">
        <f t="shared" si="5"/>
        <v>164.5</v>
      </c>
      <c r="L114">
        <v>5</v>
      </c>
      <c r="M114" t="s">
        <v>20</v>
      </c>
      <c r="N114" t="s">
        <v>23</v>
      </c>
      <c r="O114" t="s">
        <v>24</v>
      </c>
      <c r="P114">
        <v>36602</v>
      </c>
      <c r="Q114" t="s">
        <v>26</v>
      </c>
      <c r="R114" t="s">
        <v>27</v>
      </c>
      <c r="S114">
        <v>5</v>
      </c>
    </row>
    <row r="115" spans="1:19" x14ac:dyDescent="0.2">
      <c r="A115">
        <v>29</v>
      </c>
      <c r="B115" s="3">
        <v>45285</v>
      </c>
      <c r="C115">
        <v>1263</v>
      </c>
      <c r="D115">
        <v>3</v>
      </c>
      <c r="E115" t="s">
        <v>30</v>
      </c>
      <c r="F115" s="7">
        <v>5</v>
      </c>
      <c r="G115" s="7">
        <v>2.2000000000000002</v>
      </c>
      <c r="H115" s="10">
        <v>96</v>
      </c>
      <c r="I115" s="4">
        <f t="shared" si="3"/>
        <v>480</v>
      </c>
      <c r="J115" s="4">
        <f t="shared" si="4"/>
        <v>211.20000000000002</v>
      </c>
      <c r="K115" s="4">
        <f t="shared" si="5"/>
        <v>268.79999999999995</v>
      </c>
      <c r="L115">
        <v>5</v>
      </c>
      <c r="M115" t="s">
        <v>20</v>
      </c>
      <c r="N115" t="s">
        <v>23</v>
      </c>
      <c r="O115" t="s">
        <v>24</v>
      </c>
      <c r="P115">
        <v>36602</v>
      </c>
      <c r="Q115" t="s">
        <v>26</v>
      </c>
      <c r="R115" t="s">
        <v>27</v>
      </c>
      <c r="S115">
        <v>5</v>
      </c>
    </row>
    <row r="116" spans="1:19" x14ac:dyDescent="0.2">
      <c r="A116">
        <v>29</v>
      </c>
      <c r="B116" s="3">
        <v>45286</v>
      </c>
      <c r="C116">
        <v>1263</v>
      </c>
      <c r="D116">
        <v>6</v>
      </c>
      <c r="E116" t="s">
        <v>32</v>
      </c>
      <c r="F116" s="7">
        <v>6</v>
      </c>
      <c r="G116" s="7">
        <v>2.75</v>
      </c>
      <c r="H116" s="10">
        <v>17</v>
      </c>
      <c r="I116" s="4">
        <f t="shared" si="3"/>
        <v>102</v>
      </c>
      <c r="J116" s="4">
        <f t="shared" si="4"/>
        <v>46.75</v>
      </c>
      <c r="K116" s="4">
        <f t="shared" si="5"/>
        <v>55.25</v>
      </c>
      <c r="L116">
        <v>5</v>
      </c>
      <c r="M116" t="s">
        <v>20</v>
      </c>
      <c r="N116" t="s">
        <v>23</v>
      </c>
      <c r="O116" t="s">
        <v>24</v>
      </c>
      <c r="P116">
        <v>36602</v>
      </c>
      <c r="Q116" t="s">
        <v>26</v>
      </c>
      <c r="R116" t="s">
        <v>27</v>
      </c>
      <c r="S116">
        <v>5</v>
      </c>
    </row>
    <row r="117" spans="1:19" x14ac:dyDescent="0.2">
      <c r="A117">
        <v>29</v>
      </c>
      <c r="B117" s="3">
        <v>45287</v>
      </c>
      <c r="C117">
        <v>1263</v>
      </c>
      <c r="D117">
        <v>2</v>
      </c>
      <c r="E117" t="s">
        <v>28</v>
      </c>
      <c r="F117" s="7">
        <v>1</v>
      </c>
      <c r="G117" s="7">
        <v>0.5</v>
      </c>
      <c r="H117" s="10">
        <v>79</v>
      </c>
      <c r="I117" s="4">
        <f t="shared" si="3"/>
        <v>79</v>
      </c>
      <c r="J117" s="4">
        <f t="shared" si="4"/>
        <v>39.5</v>
      </c>
      <c r="K117" s="4">
        <f t="shared" si="5"/>
        <v>39.5</v>
      </c>
      <c r="L117">
        <v>5</v>
      </c>
      <c r="M117" t="s">
        <v>20</v>
      </c>
      <c r="N117" t="s">
        <v>23</v>
      </c>
      <c r="O117" t="s">
        <v>24</v>
      </c>
      <c r="P117">
        <v>36602</v>
      </c>
      <c r="Q117" t="s">
        <v>26</v>
      </c>
      <c r="R117" t="s">
        <v>27</v>
      </c>
      <c r="S117">
        <v>5</v>
      </c>
    </row>
    <row r="118" spans="1:19" x14ac:dyDescent="0.2">
      <c r="A118">
        <v>32</v>
      </c>
      <c r="B118" s="3">
        <v>45293</v>
      </c>
      <c r="C118">
        <v>2847</v>
      </c>
      <c r="D118">
        <v>3</v>
      </c>
      <c r="E118" t="s">
        <v>30</v>
      </c>
      <c r="F118" s="7">
        <v>5</v>
      </c>
      <c r="G118" s="7">
        <v>2.2000000000000002</v>
      </c>
      <c r="H118" s="10">
        <v>128</v>
      </c>
      <c r="I118" s="4">
        <f t="shared" si="3"/>
        <v>640</v>
      </c>
      <c r="J118" s="4">
        <f t="shared" si="4"/>
        <v>281.60000000000002</v>
      </c>
      <c r="K118" s="4">
        <f t="shared" si="5"/>
        <v>358.4</v>
      </c>
      <c r="L118">
        <v>5</v>
      </c>
      <c r="M118" t="s">
        <v>20</v>
      </c>
      <c r="N118" t="s">
        <v>23</v>
      </c>
      <c r="O118" t="s">
        <v>24</v>
      </c>
      <c r="P118">
        <v>36602</v>
      </c>
      <c r="Q118" t="s">
        <v>26</v>
      </c>
      <c r="R118" t="s">
        <v>27</v>
      </c>
      <c r="S118">
        <v>5</v>
      </c>
    </row>
    <row r="119" spans="1:19" x14ac:dyDescent="0.2">
      <c r="A119">
        <v>32</v>
      </c>
      <c r="B119" s="3">
        <v>45294</v>
      </c>
      <c r="C119">
        <v>2847</v>
      </c>
      <c r="D119">
        <v>1</v>
      </c>
      <c r="E119" t="s">
        <v>18</v>
      </c>
      <c r="F119" s="7">
        <v>5</v>
      </c>
      <c r="G119" s="7">
        <v>2</v>
      </c>
      <c r="H119" s="10">
        <v>93</v>
      </c>
      <c r="I119" s="4">
        <f t="shared" si="3"/>
        <v>465</v>
      </c>
      <c r="J119" s="4">
        <f t="shared" si="4"/>
        <v>186</v>
      </c>
      <c r="K119" s="4">
        <f t="shared" si="5"/>
        <v>279</v>
      </c>
      <c r="L119">
        <v>5</v>
      </c>
      <c r="M119" t="s">
        <v>20</v>
      </c>
      <c r="N119" t="s">
        <v>23</v>
      </c>
      <c r="O119" t="s">
        <v>24</v>
      </c>
      <c r="P119">
        <v>36602</v>
      </c>
      <c r="Q119" t="s">
        <v>26</v>
      </c>
      <c r="R119" t="s">
        <v>27</v>
      </c>
      <c r="S119">
        <v>5</v>
      </c>
    </row>
    <row r="120" spans="1:19" x14ac:dyDescent="0.2">
      <c r="A120">
        <v>32</v>
      </c>
      <c r="B120" s="3">
        <v>45295</v>
      </c>
      <c r="C120">
        <v>2847</v>
      </c>
      <c r="D120">
        <v>4</v>
      </c>
      <c r="E120" t="s">
        <v>31</v>
      </c>
      <c r="F120" s="7">
        <v>4</v>
      </c>
      <c r="G120" s="7">
        <v>1.5</v>
      </c>
      <c r="H120" s="10">
        <v>122</v>
      </c>
      <c r="I120" s="4">
        <f t="shared" si="3"/>
        <v>488</v>
      </c>
      <c r="J120" s="4">
        <f t="shared" si="4"/>
        <v>183</v>
      </c>
      <c r="K120" s="4">
        <f t="shared" si="5"/>
        <v>305</v>
      </c>
      <c r="L120">
        <v>5</v>
      </c>
      <c r="M120" t="s">
        <v>20</v>
      </c>
      <c r="N120" t="s">
        <v>23</v>
      </c>
      <c r="O120" t="s">
        <v>24</v>
      </c>
      <c r="P120">
        <v>36602</v>
      </c>
      <c r="Q120" t="s">
        <v>26</v>
      </c>
      <c r="R120" t="s">
        <v>27</v>
      </c>
      <c r="S120">
        <v>5</v>
      </c>
    </row>
    <row r="121" spans="1:19" x14ac:dyDescent="0.2">
      <c r="A121">
        <v>32</v>
      </c>
      <c r="B121" s="3">
        <v>45296</v>
      </c>
      <c r="C121">
        <v>2847</v>
      </c>
      <c r="D121">
        <v>6</v>
      </c>
      <c r="E121" t="s">
        <v>32</v>
      </c>
      <c r="F121" s="7">
        <v>6</v>
      </c>
      <c r="G121" s="7">
        <v>2.75</v>
      </c>
      <c r="H121" s="10">
        <v>209</v>
      </c>
      <c r="I121" s="4">
        <f t="shared" si="3"/>
        <v>1254</v>
      </c>
      <c r="J121" s="4">
        <f t="shared" si="4"/>
        <v>574.75</v>
      </c>
      <c r="K121" s="4">
        <f t="shared" si="5"/>
        <v>679.25</v>
      </c>
      <c r="L121">
        <v>5</v>
      </c>
      <c r="M121" t="s">
        <v>20</v>
      </c>
      <c r="N121" t="s">
        <v>23</v>
      </c>
      <c r="O121" t="s">
        <v>24</v>
      </c>
      <c r="P121">
        <v>36602</v>
      </c>
      <c r="Q121" t="s">
        <v>26</v>
      </c>
      <c r="R121" t="s">
        <v>27</v>
      </c>
      <c r="S121">
        <v>5</v>
      </c>
    </row>
    <row r="122" spans="1:19" x14ac:dyDescent="0.2">
      <c r="A122">
        <v>35</v>
      </c>
      <c r="B122" s="3">
        <v>45302</v>
      </c>
      <c r="C122">
        <v>1165</v>
      </c>
      <c r="D122">
        <v>5</v>
      </c>
      <c r="E122" t="s">
        <v>29</v>
      </c>
      <c r="F122" s="7">
        <v>3</v>
      </c>
      <c r="G122" s="7">
        <v>1.25</v>
      </c>
      <c r="H122" s="10">
        <v>113</v>
      </c>
      <c r="I122" s="4">
        <f t="shared" si="3"/>
        <v>339</v>
      </c>
      <c r="J122" s="4">
        <f t="shared" si="4"/>
        <v>141.25</v>
      </c>
      <c r="K122" s="4">
        <f t="shared" si="5"/>
        <v>197.75</v>
      </c>
      <c r="L122">
        <v>5</v>
      </c>
      <c r="M122" t="s">
        <v>20</v>
      </c>
      <c r="N122" t="s">
        <v>23</v>
      </c>
      <c r="O122" t="s">
        <v>24</v>
      </c>
      <c r="P122">
        <v>36602</v>
      </c>
      <c r="Q122" t="s">
        <v>26</v>
      </c>
      <c r="R122" t="s">
        <v>27</v>
      </c>
      <c r="S122">
        <v>5</v>
      </c>
    </row>
    <row r="123" spans="1:19" x14ac:dyDescent="0.2">
      <c r="A123">
        <v>35</v>
      </c>
      <c r="B123" s="3">
        <v>45303</v>
      </c>
      <c r="C123">
        <v>1165</v>
      </c>
      <c r="D123">
        <v>3</v>
      </c>
      <c r="E123" t="s">
        <v>30</v>
      </c>
      <c r="F123" s="7">
        <v>5</v>
      </c>
      <c r="G123" s="7">
        <v>2.2000000000000002</v>
      </c>
      <c r="H123" s="10">
        <v>34</v>
      </c>
      <c r="I123" s="4">
        <f t="shared" si="3"/>
        <v>170</v>
      </c>
      <c r="J123" s="4">
        <f t="shared" si="4"/>
        <v>74.800000000000011</v>
      </c>
      <c r="K123" s="4">
        <f t="shared" si="5"/>
        <v>95.199999999999989</v>
      </c>
      <c r="L123">
        <v>5</v>
      </c>
      <c r="M123" t="s">
        <v>20</v>
      </c>
      <c r="N123" t="s">
        <v>23</v>
      </c>
      <c r="O123" t="s">
        <v>24</v>
      </c>
      <c r="P123">
        <v>36602</v>
      </c>
      <c r="Q123" t="s">
        <v>26</v>
      </c>
      <c r="R123" t="s">
        <v>27</v>
      </c>
      <c r="S123">
        <v>5</v>
      </c>
    </row>
    <row r="124" spans="1:19" x14ac:dyDescent="0.2">
      <c r="A124">
        <v>35</v>
      </c>
      <c r="B124" s="3">
        <v>45304</v>
      </c>
      <c r="C124">
        <v>1165</v>
      </c>
      <c r="D124">
        <v>4</v>
      </c>
      <c r="E124" t="s">
        <v>31</v>
      </c>
      <c r="F124" s="7">
        <v>4</v>
      </c>
      <c r="G124" s="7">
        <v>1.5</v>
      </c>
      <c r="H124" s="10">
        <v>164</v>
      </c>
      <c r="I124" s="4">
        <f t="shared" si="3"/>
        <v>656</v>
      </c>
      <c r="J124" s="4">
        <f t="shared" si="4"/>
        <v>246</v>
      </c>
      <c r="K124" s="4">
        <f t="shared" si="5"/>
        <v>410</v>
      </c>
      <c r="L124">
        <v>5</v>
      </c>
      <c r="M124" t="s">
        <v>20</v>
      </c>
      <c r="N124" t="s">
        <v>23</v>
      </c>
      <c r="O124" t="s">
        <v>24</v>
      </c>
      <c r="P124">
        <v>36602</v>
      </c>
      <c r="Q124" t="s">
        <v>26</v>
      </c>
      <c r="R124" t="s">
        <v>27</v>
      </c>
      <c r="S124">
        <v>5</v>
      </c>
    </row>
    <row r="125" spans="1:19" x14ac:dyDescent="0.2">
      <c r="A125">
        <v>39</v>
      </c>
      <c r="B125" s="3">
        <v>45311</v>
      </c>
      <c r="C125">
        <v>1094</v>
      </c>
      <c r="D125">
        <v>4</v>
      </c>
      <c r="E125" t="s">
        <v>31</v>
      </c>
      <c r="F125" s="7">
        <v>4</v>
      </c>
      <c r="G125" s="7">
        <v>1.5</v>
      </c>
      <c r="H125" s="10">
        <v>14</v>
      </c>
      <c r="I125" s="4">
        <f t="shared" si="3"/>
        <v>56</v>
      </c>
      <c r="J125" s="4">
        <f t="shared" si="4"/>
        <v>21</v>
      </c>
      <c r="K125" s="4">
        <f t="shared" si="5"/>
        <v>35</v>
      </c>
      <c r="L125">
        <v>5</v>
      </c>
      <c r="M125" t="s">
        <v>20</v>
      </c>
      <c r="N125" t="s">
        <v>23</v>
      </c>
      <c r="O125" t="s">
        <v>24</v>
      </c>
      <c r="P125">
        <v>36602</v>
      </c>
      <c r="Q125" t="s">
        <v>26</v>
      </c>
      <c r="R125" t="s">
        <v>27</v>
      </c>
      <c r="S125">
        <v>5</v>
      </c>
    </row>
    <row r="126" spans="1:19" x14ac:dyDescent="0.2">
      <c r="A126">
        <v>39</v>
      </c>
      <c r="B126" s="3">
        <v>45312</v>
      </c>
      <c r="C126">
        <v>1094</v>
      </c>
      <c r="D126">
        <v>6</v>
      </c>
      <c r="E126" t="s">
        <v>32</v>
      </c>
      <c r="F126" s="7">
        <v>6</v>
      </c>
      <c r="G126" s="7">
        <v>2.75</v>
      </c>
      <c r="H126" s="10">
        <v>173</v>
      </c>
      <c r="I126" s="4">
        <f t="shared" si="3"/>
        <v>1038</v>
      </c>
      <c r="J126" s="4">
        <f t="shared" si="4"/>
        <v>475.75</v>
      </c>
      <c r="K126" s="4">
        <f t="shared" si="5"/>
        <v>562.25</v>
      </c>
      <c r="L126">
        <v>5</v>
      </c>
      <c r="M126" t="s">
        <v>20</v>
      </c>
      <c r="N126" t="s">
        <v>23</v>
      </c>
      <c r="O126" t="s">
        <v>24</v>
      </c>
      <c r="P126">
        <v>36602</v>
      </c>
      <c r="Q126" t="s">
        <v>26</v>
      </c>
      <c r="R126" t="s">
        <v>27</v>
      </c>
      <c r="S126">
        <v>5</v>
      </c>
    </row>
    <row r="127" spans="1:19" x14ac:dyDescent="0.2">
      <c r="A127">
        <v>41</v>
      </c>
      <c r="B127" s="3">
        <v>45315</v>
      </c>
      <c r="C127">
        <v>240</v>
      </c>
      <c r="D127">
        <v>1</v>
      </c>
      <c r="E127" t="s">
        <v>18</v>
      </c>
      <c r="F127" s="7">
        <v>5</v>
      </c>
      <c r="G127" s="7">
        <v>2</v>
      </c>
      <c r="H127" s="10">
        <v>48</v>
      </c>
      <c r="I127" s="4">
        <f t="shared" si="3"/>
        <v>240</v>
      </c>
      <c r="J127" s="4">
        <f t="shared" si="4"/>
        <v>96</v>
      </c>
      <c r="K127" s="4">
        <f t="shared" si="5"/>
        <v>144</v>
      </c>
      <c r="L127">
        <v>5</v>
      </c>
      <c r="M127" t="s">
        <v>20</v>
      </c>
      <c r="N127" t="s">
        <v>23</v>
      </c>
      <c r="O127" t="s">
        <v>24</v>
      </c>
      <c r="P127">
        <v>36602</v>
      </c>
      <c r="Q127" t="s">
        <v>26</v>
      </c>
      <c r="R127" t="s">
        <v>27</v>
      </c>
      <c r="S127">
        <v>5</v>
      </c>
    </row>
    <row r="128" spans="1:19" x14ac:dyDescent="0.2">
      <c r="A128">
        <v>43</v>
      </c>
      <c r="B128" s="3">
        <v>45319</v>
      </c>
      <c r="C128">
        <v>3518</v>
      </c>
      <c r="D128">
        <v>3</v>
      </c>
      <c r="E128" t="s">
        <v>30</v>
      </c>
      <c r="F128" s="7">
        <v>5</v>
      </c>
      <c r="G128" s="7">
        <v>2.2000000000000002</v>
      </c>
      <c r="H128" s="10">
        <v>125</v>
      </c>
      <c r="I128" s="4">
        <f t="shared" si="3"/>
        <v>625</v>
      </c>
      <c r="J128" s="4">
        <f t="shared" si="4"/>
        <v>275</v>
      </c>
      <c r="K128" s="4">
        <f t="shared" si="5"/>
        <v>350</v>
      </c>
      <c r="L128">
        <v>5</v>
      </c>
      <c r="M128" t="s">
        <v>20</v>
      </c>
      <c r="N128" t="s">
        <v>23</v>
      </c>
      <c r="O128" t="s">
        <v>24</v>
      </c>
      <c r="P128">
        <v>36602</v>
      </c>
      <c r="Q128" t="s">
        <v>26</v>
      </c>
      <c r="R128" t="s">
        <v>27</v>
      </c>
      <c r="S128">
        <v>5</v>
      </c>
    </row>
    <row r="129" spans="1:19" x14ac:dyDescent="0.2">
      <c r="A129">
        <v>43</v>
      </c>
      <c r="B129" s="3">
        <v>45320</v>
      </c>
      <c r="C129">
        <v>3518</v>
      </c>
      <c r="D129">
        <v>1</v>
      </c>
      <c r="E129" t="s">
        <v>18</v>
      </c>
      <c r="F129" s="7">
        <v>5</v>
      </c>
      <c r="G129" s="7">
        <v>2</v>
      </c>
      <c r="H129" s="10">
        <v>209</v>
      </c>
      <c r="I129" s="4">
        <f t="shared" si="3"/>
        <v>1045</v>
      </c>
      <c r="J129" s="4">
        <f t="shared" si="4"/>
        <v>418</v>
      </c>
      <c r="K129" s="4">
        <f t="shared" si="5"/>
        <v>627</v>
      </c>
      <c r="L129">
        <v>5</v>
      </c>
      <c r="M129" t="s">
        <v>20</v>
      </c>
      <c r="N129" t="s">
        <v>23</v>
      </c>
      <c r="O129" t="s">
        <v>24</v>
      </c>
      <c r="P129">
        <v>36602</v>
      </c>
      <c r="Q129" t="s">
        <v>26</v>
      </c>
      <c r="R129" t="s">
        <v>27</v>
      </c>
      <c r="S129">
        <v>5</v>
      </c>
    </row>
    <row r="130" spans="1:19" x14ac:dyDescent="0.2">
      <c r="A130">
        <v>43</v>
      </c>
      <c r="B130" s="3">
        <v>45321</v>
      </c>
      <c r="C130">
        <v>3518</v>
      </c>
      <c r="D130">
        <v>6</v>
      </c>
      <c r="E130" t="s">
        <v>32</v>
      </c>
      <c r="F130" s="7">
        <v>6</v>
      </c>
      <c r="G130" s="7">
        <v>2.75</v>
      </c>
      <c r="H130" s="10">
        <v>186</v>
      </c>
      <c r="I130" s="4">
        <f t="shared" si="3"/>
        <v>1116</v>
      </c>
      <c r="J130" s="4">
        <f t="shared" si="4"/>
        <v>511.5</v>
      </c>
      <c r="K130" s="4">
        <f t="shared" si="5"/>
        <v>604.5</v>
      </c>
      <c r="L130">
        <v>5</v>
      </c>
      <c r="M130" t="s">
        <v>20</v>
      </c>
      <c r="N130" t="s">
        <v>23</v>
      </c>
      <c r="O130" t="s">
        <v>24</v>
      </c>
      <c r="P130">
        <v>36602</v>
      </c>
      <c r="Q130" t="s">
        <v>26</v>
      </c>
      <c r="R130" t="s">
        <v>27</v>
      </c>
      <c r="S130">
        <v>5</v>
      </c>
    </row>
    <row r="131" spans="1:19" x14ac:dyDescent="0.2">
      <c r="A131">
        <v>43</v>
      </c>
      <c r="B131" s="3">
        <v>45322</v>
      </c>
      <c r="C131">
        <v>3518</v>
      </c>
      <c r="D131">
        <v>4</v>
      </c>
      <c r="E131" t="s">
        <v>31</v>
      </c>
      <c r="F131" s="7">
        <v>4</v>
      </c>
      <c r="G131" s="7">
        <v>1.5</v>
      </c>
      <c r="H131" s="10">
        <v>18</v>
      </c>
      <c r="I131" s="4">
        <f t="shared" ref="I131:I135" si="6">H131*F131</f>
        <v>72</v>
      </c>
      <c r="J131" s="4">
        <f t="shared" ref="J131:J135" si="7">G131*H131</f>
        <v>27</v>
      </c>
      <c r="K131" s="4">
        <f t="shared" ref="K131:K135" si="8">I131-J131</f>
        <v>45</v>
      </c>
      <c r="L131">
        <v>5</v>
      </c>
      <c r="M131" t="s">
        <v>20</v>
      </c>
      <c r="N131" t="s">
        <v>23</v>
      </c>
      <c r="O131" t="s">
        <v>24</v>
      </c>
      <c r="P131">
        <v>36602</v>
      </c>
      <c r="Q131" t="s">
        <v>26</v>
      </c>
      <c r="R131" t="s">
        <v>27</v>
      </c>
      <c r="S131">
        <v>5</v>
      </c>
    </row>
    <row r="132" spans="1:19" x14ac:dyDescent="0.2">
      <c r="A132">
        <v>43</v>
      </c>
      <c r="B132" s="3">
        <v>45323</v>
      </c>
      <c r="C132">
        <v>3518</v>
      </c>
      <c r="D132">
        <v>5</v>
      </c>
      <c r="E132" t="s">
        <v>29</v>
      </c>
      <c r="F132" s="7">
        <v>3</v>
      </c>
      <c r="G132" s="7">
        <v>1.25</v>
      </c>
      <c r="H132" s="10">
        <v>220</v>
      </c>
      <c r="I132" s="4">
        <f t="shared" si="6"/>
        <v>660</v>
      </c>
      <c r="J132" s="4">
        <f t="shared" si="7"/>
        <v>275</v>
      </c>
      <c r="K132" s="4">
        <f t="shared" si="8"/>
        <v>385</v>
      </c>
      <c r="L132">
        <v>5</v>
      </c>
      <c r="M132" t="s">
        <v>20</v>
      </c>
      <c r="N132" t="s">
        <v>23</v>
      </c>
      <c r="O132" t="s">
        <v>24</v>
      </c>
      <c r="P132">
        <v>36602</v>
      </c>
      <c r="Q132" t="s">
        <v>26</v>
      </c>
      <c r="R132" t="s">
        <v>27</v>
      </c>
      <c r="S132">
        <v>5</v>
      </c>
    </row>
    <row r="133" spans="1:19" x14ac:dyDescent="0.2">
      <c r="A133">
        <v>46</v>
      </c>
      <c r="B133" s="3">
        <v>45330</v>
      </c>
      <c r="C133">
        <v>648</v>
      </c>
      <c r="D133">
        <v>2</v>
      </c>
      <c r="E133" t="s">
        <v>28</v>
      </c>
      <c r="F133" s="7">
        <v>1</v>
      </c>
      <c r="G133" s="7">
        <v>0.5</v>
      </c>
      <c r="H133" s="10">
        <v>177</v>
      </c>
      <c r="I133" s="4">
        <f t="shared" si="6"/>
        <v>177</v>
      </c>
      <c r="J133" s="4">
        <f t="shared" si="7"/>
        <v>88.5</v>
      </c>
      <c r="K133" s="4">
        <f t="shared" si="8"/>
        <v>88.5</v>
      </c>
      <c r="L133">
        <v>5</v>
      </c>
      <c r="M133" t="s">
        <v>20</v>
      </c>
      <c r="N133" t="s">
        <v>23</v>
      </c>
      <c r="O133" t="s">
        <v>24</v>
      </c>
      <c r="P133">
        <v>36602</v>
      </c>
      <c r="Q133" t="s">
        <v>26</v>
      </c>
      <c r="R133" t="s">
        <v>27</v>
      </c>
      <c r="S133">
        <v>5</v>
      </c>
    </row>
    <row r="134" spans="1:19" x14ac:dyDescent="0.2">
      <c r="A134">
        <v>46</v>
      </c>
      <c r="B134" s="3">
        <v>45331</v>
      </c>
      <c r="C134">
        <v>648</v>
      </c>
      <c r="D134">
        <v>4</v>
      </c>
      <c r="E134" t="s">
        <v>31</v>
      </c>
      <c r="F134" s="7">
        <v>4</v>
      </c>
      <c r="G134" s="7">
        <v>1.5</v>
      </c>
      <c r="H134" s="10">
        <v>66</v>
      </c>
      <c r="I134" s="4">
        <f t="shared" si="6"/>
        <v>264</v>
      </c>
      <c r="J134" s="4">
        <f t="shared" si="7"/>
        <v>99</v>
      </c>
      <c r="K134" s="4">
        <f t="shared" si="8"/>
        <v>165</v>
      </c>
      <c r="L134">
        <v>5</v>
      </c>
      <c r="M134" t="s">
        <v>20</v>
      </c>
      <c r="N134" t="s">
        <v>23</v>
      </c>
      <c r="O134" t="s">
        <v>24</v>
      </c>
      <c r="P134">
        <v>36602</v>
      </c>
      <c r="Q134" t="s">
        <v>26</v>
      </c>
      <c r="R134" t="s">
        <v>27</v>
      </c>
      <c r="S134">
        <v>5</v>
      </c>
    </row>
    <row r="135" spans="1:19" x14ac:dyDescent="0.2">
      <c r="A135">
        <v>46</v>
      </c>
      <c r="B135" s="3">
        <v>45332</v>
      </c>
      <c r="C135">
        <v>648</v>
      </c>
      <c r="D135">
        <v>5</v>
      </c>
      <c r="E135" t="s">
        <v>29</v>
      </c>
      <c r="F135" s="7">
        <v>3</v>
      </c>
      <c r="G135" s="7">
        <v>1.25</v>
      </c>
      <c r="H135" s="10">
        <v>69</v>
      </c>
      <c r="I135" s="4">
        <f t="shared" si="6"/>
        <v>207</v>
      </c>
      <c r="J135" s="4">
        <f t="shared" si="7"/>
        <v>86.25</v>
      </c>
      <c r="K135" s="4">
        <f t="shared" si="8"/>
        <v>120.75</v>
      </c>
      <c r="L135">
        <v>5</v>
      </c>
      <c r="M135" t="s">
        <v>20</v>
      </c>
      <c r="N135" t="s">
        <v>23</v>
      </c>
      <c r="O135" t="s">
        <v>24</v>
      </c>
      <c r="P135">
        <v>36602</v>
      </c>
      <c r="Q135" t="s">
        <v>26</v>
      </c>
      <c r="R135" t="s">
        <v>27</v>
      </c>
      <c r="S135">
        <v>5</v>
      </c>
    </row>
  </sheetData>
  <autoFilter ref="A1:R135" xr:uid="{6E1D40C9-769F-C24F-B068-451E9EB756B8}">
    <sortState xmlns:xlrd2="http://schemas.microsoft.com/office/spreadsheetml/2017/richdata2" ref="A2:R135">
      <sortCondition ref="L1:L135"/>
    </sortState>
  </autoFilter>
  <sortState xmlns:xlrd2="http://schemas.microsoft.com/office/spreadsheetml/2017/richdata2" ref="A2:R138">
    <sortCondition ref="A1:A13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7685-576A-F945-B03A-2EBA8F75A161}">
  <dimension ref="A1:B10"/>
  <sheetViews>
    <sheetView zoomScale="125" zoomScaleNormal="125" workbookViewId="0">
      <selection activeCell="B10" sqref="B10"/>
    </sheetView>
  </sheetViews>
  <sheetFormatPr baseColWidth="10" defaultColWidth="11.5" defaultRowHeight="15" x14ac:dyDescent="0.2"/>
  <cols>
    <col min="1" max="1" width="10.83203125" style="1"/>
    <col min="2" max="2" width="106.83203125" customWidth="1"/>
  </cols>
  <sheetData>
    <row r="1" spans="1:2" x14ac:dyDescent="0.2">
      <c r="B1" s="11" t="s">
        <v>70</v>
      </c>
    </row>
    <row r="2" spans="1:2" x14ac:dyDescent="0.2">
      <c r="A2" s="1">
        <v>1</v>
      </c>
      <c r="B2" t="s">
        <v>71</v>
      </c>
    </row>
    <row r="3" spans="1:2" x14ac:dyDescent="0.2">
      <c r="A3" s="1">
        <v>2</v>
      </c>
      <c r="B3" t="s">
        <v>72</v>
      </c>
    </row>
    <row r="4" spans="1:2" x14ac:dyDescent="0.2">
      <c r="A4" s="1">
        <v>3</v>
      </c>
      <c r="B4" t="s">
        <v>73</v>
      </c>
    </row>
    <row r="5" spans="1:2" x14ac:dyDescent="0.2">
      <c r="A5" s="1">
        <v>4</v>
      </c>
      <c r="B5" t="s">
        <v>74</v>
      </c>
    </row>
    <row r="6" spans="1:2" x14ac:dyDescent="0.2">
      <c r="A6" s="1">
        <v>5</v>
      </c>
      <c r="B6" t="s">
        <v>75</v>
      </c>
    </row>
    <row r="7" spans="1:2" x14ac:dyDescent="0.2">
      <c r="A7" s="1">
        <v>6</v>
      </c>
      <c r="B7" t="s">
        <v>76</v>
      </c>
    </row>
    <row r="8" spans="1:2" x14ac:dyDescent="0.2">
      <c r="A8" s="1">
        <v>7</v>
      </c>
      <c r="B8" t="s">
        <v>77</v>
      </c>
    </row>
    <row r="9" spans="1:2" x14ac:dyDescent="0.2">
      <c r="A9" s="1">
        <v>8</v>
      </c>
      <c r="B9" s="8" t="s">
        <v>78</v>
      </c>
    </row>
    <row r="10" spans="1:2" x14ac:dyDescent="0.2">
      <c r="A10" s="1">
        <v>9</v>
      </c>
      <c r="B10" t="s">
        <v>79</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597D-BC22-8941-91D8-0B6EBA5181DE}">
  <dimension ref="A1"/>
  <sheetViews>
    <sheetView workbookViewId="0">
      <selection activeCell="L11" sqref="L11"/>
    </sheetView>
  </sheetViews>
  <sheetFormatPr baseColWidth="10" defaultColWidth="11.5" defaultRowHeight="15" x14ac:dyDescent="0.2"/>
  <cols>
    <col min="1" max="1" width="26.33203125" bestFit="1" customWidth="1"/>
    <col min="2" max="2" width="14.83203125" bestFit="1" customWidth="1"/>
    <col min="3" max="4" width="17.33203125" bestFit="1" customWidth="1"/>
    <col min="5" max="5" width="17.33203125" customWidth="1"/>
    <col min="6" max="7" width="6.1640625" bestFit="1" customWidth="1"/>
    <col min="8" max="8" width="10"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D3D4-BCC7-E741-AB43-6D42D9148D76}">
  <dimension ref="A1:E135"/>
  <sheetViews>
    <sheetView topLeftCell="D1" workbookViewId="0">
      <selection activeCell="D3" sqref="D3"/>
    </sheetView>
  </sheetViews>
  <sheetFormatPr baseColWidth="10" defaultColWidth="11.5" defaultRowHeight="19" x14ac:dyDescent="0.25"/>
  <cols>
    <col min="1" max="1" width="10.83203125" style="14"/>
    <col min="2" max="2" width="15" style="14" customWidth="1"/>
    <col min="4" max="4" width="126.1640625" customWidth="1"/>
    <col min="5" max="5" width="16.5" bestFit="1" customWidth="1"/>
    <col min="6" max="6" width="90" bestFit="1" customWidth="1"/>
    <col min="7" max="7" width="138.6640625" bestFit="1" customWidth="1"/>
    <col min="8" max="8" width="125.6640625" bestFit="1" customWidth="1"/>
    <col min="9" max="9" width="110.5" bestFit="1" customWidth="1"/>
    <col min="10" max="10" width="15" bestFit="1" customWidth="1"/>
  </cols>
  <sheetData>
    <row r="1" spans="1:5" x14ac:dyDescent="0.25">
      <c r="A1" s="25" t="s">
        <v>68</v>
      </c>
      <c r="B1" s="25" t="s">
        <v>69</v>
      </c>
    </row>
    <row r="2" spans="1:5" ht="21" x14ac:dyDescent="0.25">
      <c r="A2" s="14">
        <v>205</v>
      </c>
      <c r="B2" s="14">
        <v>1</v>
      </c>
      <c r="D2" s="21" t="s">
        <v>80</v>
      </c>
      <c r="E2" s="22" t="s">
        <v>81</v>
      </c>
    </row>
    <row r="3" spans="1:5" ht="21" x14ac:dyDescent="0.25">
      <c r="A3" s="14">
        <v>70</v>
      </c>
      <c r="B3" s="14">
        <v>1</v>
      </c>
      <c r="D3" s="23" t="s">
        <v>27</v>
      </c>
      <c r="E3" s="24">
        <v>10021.9</v>
      </c>
    </row>
    <row r="4" spans="1:5" ht="21" x14ac:dyDescent="0.25">
      <c r="A4" s="14">
        <v>104.5</v>
      </c>
      <c r="B4" s="14">
        <v>1</v>
      </c>
      <c r="D4" s="23" t="s">
        <v>40</v>
      </c>
      <c r="E4" s="24">
        <v>9145.1500000000015</v>
      </c>
    </row>
    <row r="5" spans="1:5" ht="21" x14ac:dyDescent="0.25">
      <c r="A5" s="14">
        <v>43.75</v>
      </c>
      <c r="B5" s="14">
        <v>1</v>
      </c>
      <c r="D5" s="23" t="s">
        <v>63</v>
      </c>
      <c r="E5" s="24">
        <v>8515.6999999999989</v>
      </c>
    </row>
    <row r="6" spans="1:5" ht="21" x14ac:dyDescent="0.25">
      <c r="A6" s="14">
        <v>513</v>
      </c>
      <c r="B6" s="14">
        <v>1</v>
      </c>
      <c r="D6" s="23" t="s">
        <v>56</v>
      </c>
      <c r="E6" s="24">
        <v>6009.3</v>
      </c>
    </row>
    <row r="7" spans="1:5" ht="21" x14ac:dyDescent="0.25">
      <c r="A7" s="14">
        <v>344.75</v>
      </c>
      <c r="B7" s="14">
        <v>1</v>
      </c>
      <c r="D7" s="23" t="s">
        <v>48</v>
      </c>
      <c r="E7" s="24">
        <v>4966</v>
      </c>
    </row>
    <row r="8" spans="1:5" ht="21" x14ac:dyDescent="0.25">
      <c r="A8" s="14">
        <v>117</v>
      </c>
      <c r="B8" s="14">
        <v>1</v>
      </c>
      <c r="D8" s="23" t="s">
        <v>82</v>
      </c>
      <c r="E8" s="24">
        <v>38658.049999999996</v>
      </c>
    </row>
    <row r="9" spans="1:5" x14ac:dyDescent="0.25">
      <c r="A9" s="14">
        <v>218.39999999999998</v>
      </c>
      <c r="B9" s="14">
        <v>1</v>
      </c>
    </row>
    <row r="10" spans="1:5" x14ac:dyDescent="0.25">
      <c r="A10" s="14">
        <v>84.5</v>
      </c>
      <c r="B10" s="14">
        <v>1</v>
      </c>
    </row>
    <row r="11" spans="1:5" x14ac:dyDescent="0.25">
      <c r="A11" s="14">
        <v>113.5</v>
      </c>
      <c r="B11" s="14">
        <v>1</v>
      </c>
    </row>
    <row r="12" spans="1:5" x14ac:dyDescent="0.25">
      <c r="A12" s="14">
        <v>266</v>
      </c>
      <c r="B12" s="14">
        <v>1</v>
      </c>
    </row>
    <row r="13" spans="1:5" x14ac:dyDescent="0.25">
      <c r="A13" s="14">
        <v>507</v>
      </c>
      <c r="B13" s="14">
        <v>1</v>
      </c>
    </row>
    <row r="14" spans="1:5" x14ac:dyDescent="0.25">
      <c r="A14" s="14">
        <v>510</v>
      </c>
      <c r="B14" s="14">
        <v>1</v>
      </c>
    </row>
    <row r="15" spans="1:5" x14ac:dyDescent="0.25">
      <c r="A15" s="14">
        <v>411</v>
      </c>
      <c r="B15" s="14">
        <v>1</v>
      </c>
    </row>
    <row r="16" spans="1:5" x14ac:dyDescent="0.25">
      <c r="A16" s="14">
        <v>32.5</v>
      </c>
      <c r="B16" s="14">
        <v>1</v>
      </c>
    </row>
    <row r="17" spans="1:2" x14ac:dyDescent="0.25">
      <c r="A17" s="14">
        <v>243.6</v>
      </c>
      <c r="B17" s="14">
        <v>1</v>
      </c>
    </row>
    <row r="18" spans="1:2" x14ac:dyDescent="0.25">
      <c r="A18" s="14">
        <v>61.5</v>
      </c>
      <c r="B18" s="14">
        <v>1</v>
      </c>
    </row>
    <row r="19" spans="1:2" x14ac:dyDescent="0.25">
      <c r="A19" s="14">
        <v>542.5</v>
      </c>
      <c r="B19" s="14">
        <v>1</v>
      </c>
    </row>
    <row r="20" spans="1:2" x14ac:dyDescent="0.25">
      <c r="A20" s="14">
        <v>210</v>
      </c>
      <c r="B20" s="14">
        <v>1</v>
      </c>
    </row>
    <row r="21" spans="1:2" x14ac:dyDescent="0.25">
      <c r="A21" s="14">
        <v>367.5</v>
      </c>
      <c r="B21" s="14">
        <v>1</v>
      </c>
    </row>
    <row r="22" spans="1:2" x14ac:dyDescent="0.25">
      <c r="A22" s="14">
        <v>246</v>
      </c>
      <c r="B22" s="14">
        <v>2</v>
      </c>
    </row>
    <row r="23" spans="1:2" x14ac:dyDescent="0.25">
      <c r="A23" s="14">
        <v>315</v>
      </c>
      <c r="B23" s="14">
        <v>2</v>
      </c>
    </row>
    <row r="24" spans="1:2" x14ac:dyDescent="0.25">
      <c r="A24" s="14">
        <v>58.5</v>
      </c>
      <c r="B24" s="14">
        <v>2</v>
      </c>
    </row>
    <row r="25" spans="1:2" x14ac:dyDescent="0.25">
      <c r="A25" s="14">
        <v>565.59999999999991</v>
      </c>
      <c r="B25" s="14">
        <v>2</v>
      </c>
    </row>
    <row r="26" spans="1:2" x14ac:dyDescent="0.25">
      <c r="A26" s="14">
        <v>85</v>
      </c>
      <c r="B26" s="14">
        <v>2</v>
      </c>
    </row>
    <row r="27" spans="1:2" x14ac:dyDescent="0.25">
      <c r="A27" s="14">
        <v>58.5</v>
      </c>
      <c r="B27" s="14">
        <v>2</v>
      </c>
    </row>
    <row r="28" spans="1:2" x14ac:dyDescent="0.25">
      <c r="A28" s="14">
        <v>565.59999999999991</v>
      </c>
      <c r="B28" s="14">
        <v>2</v>
      </c>
    </row>
    <row r="29" spans="1:2" x14ac:dyDescent="0.25">
      <c r="A29" s="14">
        <v>113</v>
      </c>
      <c r="B29" s="14">
        <v>2</v>
      </c>
    </row>
    <row r="30" spans="1:2" x14ac:dyDescent="0.25">
      <c r="A30" s="14">
        <v>247.5</v>
      </c>
      <c r="B30" s="14">
        <v>2</v>
      </c>
    </row>
    <row r="31" spans="1:2" x14ac:dyDescent="0.25">
      <c r="A31" s="14">
        <v>357</v>
      </c>
      <c r="B31" s="14">
        <v>2</v>
      </c>
    </row>
    <row r="32" spans="1:2" x14ac:dyDescent="0.25">
      <c r="A32" s="14">
        <v>428.4</v>
      </c>
      <c r="B32" s="14">
        <v>2</v>
      </c>
    </row>
    <row r="33" spans="1:2" x14ac:dyDescent="0.25">
      <c r="A33" s="14">
        <v>419.25</v>
      </c>
      <c r="B33" s="14">
        <v>2</v>
      </c>
    </row>
    <row r="34" spans="1:2" x14ac:dyDescent="0.25">
      <c r="A34" s="14">
        <v>140</v>
      </c>
      <c r="B34" s="14">
        <v>2</v>
      </c>
    </row>
    <row r="35" spans="1:2" x14ac:dyDescent="0.25">
      <c r="A35" s="14">
        <v>763.75</v>
      </c>
      <c r="B35" s="14">
        <v>2</v>
      </c>
    </row>
    <row r="36" spans="1:2" x14ac:dyDescent="0.25">
      <c r="A36" s="14">
        <v>411.59999999999997</v>
      </c>
      <c r="B36" s="14">
        <v>2</v>
      </c>
    </row>
    <row r="37" spans="1:2" x14ac:dyDescent="0.25">
      <c r="A37" s="14">
        <v>732</v>
      </c>
      <c r="B37" s="14">
        <v>2</v>
      </c>
    </row>
    <row r="38" spans="1:2" x14ac:dyDescent="0.25">
      <c r="A38" s="14">
        <v>396</v>
      </c>
      <c r="B38" s="14">
        <v>2</v>
      </c>
    </row>
    <row r="39" spans="1:2" x14ac:dyDescent="0.25">
      <c r="A39" s="14">
        <v>67.5</v>
      </c>
      <c r="B39" s="14">
        <v>2</v>
      </c>
    </row>
    <row r="40" spans="1:2" x14ac:dyDescent="0.25">
      <c r="A40" s="14">
        <v>546</v>
      </c>
      <c r="B40" s="14">
        <v>2</v>
      </c>
    </row>
    <row r="41" spans="1:2" x14ac:dyDescent="0.25">
      <c r="A41" s="14">
        <v>453</v>
      </c>
      <c r="B41" s="14">
        <v>2</v>
      </c>
    </row>
    <row r="42" spans="1:2" x14ac:dyDescent="0.25">
      <c r="A42" s="14">
        <v>641.19999999999993</v>
      </c>
      <c r="B42" s="14">
        <v>2</v>
      </c>
    </row>
    <row r="43" spans="1:2" x14ac:dyDescent="0.25">
      <c r="A43" s="14">
        <v>98</v>
      </c>
      <c r="B43" s="14">
        <v>2</v>
      </c>
    </row>
    <row r="44" spans="1:2" x14ac:dyDescent="0.25">
      <c r="A44" s="14">
        <v>600</v>
      </c>
      <c r="B44" s="14">
        <v>2</v>
      </c>
    </row>
    <row r="45" spans="1:2" x14ac:dyDescent="0.25">
      <c r="A45" s="14">
        <v>408</v>
      </c>
      <c r="B45" s="14">
        <v>2</v>
      </c>
    </row>
    <row r="46" spans="1:2" x14ac:dyDescent="0.25">
      <c r="A46" s="14">
        <v>428.75</v>
      </c>
      <c r="B46" s="14">
        <v>2</v>
      </c>
    </row>
    <row r="47" spans="1:2" x14ac:dyDescent="0.25">
      <c r="A47" s="14">
        <v>96.5</v>
      </c>
      <c r="B47" s="14">
        <v>3</v>
      </c>
    </row>
    <row r="48" spans="1:2" x14ac:dyDescent="0.25">
      <c r="A48" s="14">
        <v>562.5</v>
      </c>
      <c r="B48" s="14">
        <v>3</v>
      </c>
    </row>
    <row r="49" spans="1:2" x14ac:dyDescent="0.25">
      <c r="A49" s="14">
        <v>603</v>
      </c>
      <c r="B49" s="14">
        <v>3</v>
      </c>
    </row>
    <row r="50" spans="1:2" x14ac:dyDescent="0.25">
      <c r="A50" s="14">
        <v>96.5</v>
      </c>
      <c r="B50" s="14">
        <v>3</v>
      </c>
    </row>
    <row r="51" spans="1:2" x14ac:dyDescent="0.25">
      <c r="A51" s="14">
        <v>669.19999999999993</v>
      </c>
      <c r="B51" s="14">
        <v>3</v>
      </c>
    </row>
    <row r="52" spans="1:2" x14ac:dyDescent="0.25">
      <c r="A52" s="14">
        <v>84</v>
      </c>
      <c r="B52" s="14">
        <v>3</v>
      </c>
    </row>
    <row r="53" spans="1:2" x14ac:dyDescent="0.25">
      <c r="A53" s="14">
        <v>305.2</v>
      </c>
      <c r="B53" s="14">
        <v>3</v>
      </c>
    </row>
    <row r="54" spans="1:2" x14ac:dyDescent="0.25">
      <c r="A54" s="14">
        <v>49.5</v>
      </c>
      <c r="B54" s="14">
        <v>3</v>
      </c>
    </row>
    <row r="55" spans="1:2" x14ac:dyDescent="0.25">
      <c r="A55" s="14">
        <v>183</v>
      </c>
      <c r="B55" s="14">
        <v>3</v>
      </c>
    </row>
    <row r="56" spans="1:2" x14ac:dyDescent="0.25">
      <c r="A56" s="14">
        <v>348.25</v>
      </c>
      <c r="B56" s="14">
        <v>3</v>
      </c>
    </row>
    <row r="57" spans="1:2" x14ac:dyDescent="0.25">
      <c r="A57" s="14">
        <v>176.39999999999998</v>
      </c>
      <c r="B57" s="14">
        <v>3</v>
      </c>
    </row>
    <row r="58" spans="1:2" x14ac:dyDescent="0.25">
      <c r="A58" s="14">
        <v>213.5</v>
      </c>
      <c r="B58" s="14">
        <v>3</v>
      </c>
    </row>
    <row r="59" spans="1:2" x14ac:dyDescent="0.25">
      <c r="A59" s="14">
        <v>695.5</v>
      </c>
      <c r="B59" s="14">
        <v>3</v>
      </c>
    </row>
    <row r="60" spans="1:2" x14ac:dyDescent="0.25">
      <c r="A60" s="14">
        <v>89.5</v>
      </c>
      <c r="B60" s="14">
        <v>3</v>
      </c>
    </row>
    <row r="61" spans="1:2" x14ac:dyDescent="0.25">
      <c r="A61" s="14">
        <v>85.5</v>
      </c>
      <c r="B61" s="14">
        <v>3</v>
      </c>
    </row>
    <row r="62" spans="1:2" x14ac:dyDescent="0.25">
      <c r="A62" s="14">
        <v>537</v>
      </c>
      <c r="B62" s="14">
        <v>3</v>
      </c>
    </row>
    <row r="63" spans="1:2" x14ac:dyDescent="0.25">
      <c r="A63" s="14">
        <v>214.5</v>
      </c>
      <c r="B63" s="14">
        <v>3</v>
      </c>
    </row>
    <row r="64" spans="1:2" x14ac:dyDescent="0.25">
      <c r="A64" s="14">
        <v>353.5</v>
      </c>
      <c r="B64" s="14">
        <v>3</v>
      </c>
    </row>
    <row r="65" spans="1:2" x14ac:dyDescent="0.25">
      <c r="A65" s="14">
        <v>288.39999999999998</v>
      </c>
      <c r="B65" s="14">
        <v>3</v>
      </c>
    </row>
    <row r="66" spans="1:2" x14ac:dyDescent="0.25">
      <c r="A66" s="14">
        <v>562.25</v>
      </c>
      <c r="B66" s="14">
        <v>3</v>
      </c>
    </row>
    <row r="67" spans="1:2" x14ac:dyDescent="0.25">
      <c r="A67" s="14">
        <v>77.5</v>
      </c>
      <c r="B67" s="14">
        <v>3</v>
      </c>
    </row>
    <row r="68" spans="1:2" x14ac:dyDescent="0.25">
      <c r="A68" s="14">
        <v>418.25</v>
      </c>
      <c r="B68" s="14">
        <v>3</v>
      </c>
    </row>
    <row r="69" spans="1:2" x14ac:dyDescent="0.25">
      <c r="A69" s="14">
        <v>50</v>
      </c>
      <c r="B69" s="14">
        <v>3</v>
      </c>
    </row>
    <row r="70" spans="1:2" x14ac:dyDescent="0.25">
      <c r="A70" s="14">
        <v>468</v>
      </c>
      <c r="B70" s="14">
        <v>3</v>
      </c>
    </row>
    <row r="71" spans="1:2" x14ac:dyDescent="0.25">
      <c r="A71" s="14">
        <v>420</v>
      </c>
      <c r="B71" s="14">
        <v>3</v>
      </c>
    </row>
    <row r="72" spans="1:2" x14ac:dyDescent="0.25">
      <c r="A72" s="14">
        <v>392</v>
      </c>
      <c r="B72" s="14">
        <v>3</v>
      </c>
    </row>
    <row r="73" spans="1:2" x14ac:dyDescent="0.25">
      <c r="A73" s="14">
        <v>330</v>
      </c>
      <c r="B73" s="14">
        <v>3</v>
      </c>
    </row>
    <row r="74" spans="1:2" x14ac:dyDescent="0.25">
      <c r="A74" s="14">
        <v>146.25</v>
      </c>
      <c r="B74" s="14">
        <v>3</v>
      </c>
    </row>
    <row r="75" spans="1:2" x14ac:dyDescent="0.25">
      <c r="A75" s="14">
        <v>19.25</v>
      </c>
      <c r="B75" s="14">
        <v>4</v>
      </c>
    </row>
    <row r="76" spans="1:2" x14ac:dyDescent="0.25">
      <c r="A76" s="14">
        <v>138</v>
      </c>
      <c r="B76" s="14">
        <v>4</v>
      </c>
    </row>
    <row r="77" spans="1:2" x14ac:dyDescent="0.25">
      <c r="A77" s="14">
        <v>165.75</v>
      </c>
      <c r="B77" s="14">
        <v>4</v>
      </c>
    </row>
    <row r="78" spans="1:2" x14ac:dyDescent="0.25">
      <c r="A78" s="14">
        <v>642</v>
      </c>
      <c r="B78" s="14">
        <v>4</v>
      </c>
    </row>
    <row r="79" spans="1:2" x14ac:dyDescent="0.25">
      <c r="A79" s="14">
        <v>67.199999999999989</v>
      </c>
      <c r="B79" s="14">
        <v>4</v>
      </c>
    </row>
    <row r="80" spans="1:2" x14ac:dyDescent="0.25">
      <c r="A80" s="14">
        <v>214.5</v>
      </c>
      <c r="B80" s="14">
        <v>4</v>
      </c>
    </row>
    <row r="81" spans="1:2" x14ac:dyDescent="0.25">
      <c r="A81" s="14">
        <v>105</v>
      </c>
      <c r="B81" s="14">
        <v>4</v>
      </c>
    </row>
    <row r="82" spans="1:2" x14ac:dyDescent="0.25">
      <c r="A82" s="14">
        <v>19.5</v>
      </c>
      <c r="B82" s="14">
        <v>4</v>
      </c>
    </row>
    <row r="83" spans="1:2" x14ac:dyDescent="0.25">
      <c r="A83" s="14">
        <v>512.4</v>
      </c>
      <c r="B83" s="14">
        <v>4</v>
      </c>
    </row>
    <row r="84" spans="1:2" x14ac:dyDescent="0.25">
      <c r="A84" s="14">
        <v>70.5</v>
      </c>
      <c r="B84" s="14">
        <v>4</v>
      </c>
    </row>
    <row r="85" spans="1:2" x14ac:dyDescent="0.25">
      <c r="A85" s="14">
        <v>421.75</v>
      </c>
      <c r="B85" s="14">
        <v>4</v>
      </c>
    </row>
    <row r="86" spans="1:2" x14ac:dyDescent="0.25">
      <c r="A86" s="14">
        <v>492.79999999999995</v>
      </c>
      <c r="B86" s="14">
        <v>4</v>
      </c>
    </row>
    <row r="87" spans="1:2" x14ac:dyDescent="0.25">
      <c r="A87" s="14">
        <v>119.5</v>
      </c>
      <c r="B87" s="14">
        <v>4</v>
      </c>
    </row>
    <row r="88" spans="1:2" x14ac:dyDescent="0.25">
      <c r="A88" s="14">
        <v>117.6</v>
      </c>
      <c r="B88" s="14">
        <v>4</v>
      </c>
    </row>
    <row r="89" spans="1:2" x14ac:dyDescent="0.25">
      <c r="A89" s="14">
        <v>415</v>
      </c>
      <c r="B89" s="14">
        <v>4</v>
      </c>
    </row>
    <row r="90" spans="1:2" x14ac:dyDescent="0.25">
      <c r="A90" s="14">
        <v>546</v>
      </c>
      <c r="B90" s="14">
        <v>4</v>
      </c>
    </row>
    <row r="91" spans="1:2" x14ac:dyDescent="0.25">
      <c r="A91" s="14">
        <v>335</v>
      </c>
      <c r="B91" s="14">
        <v>4</v>
      </c>
    </row>
    <row r="92" spans="1:2" x14ac:dyDescent="0.25">
      <c r="A92" s="14">
        <v>301</v>
      </c>
      <c r="B92" s="14">
        <v>4</v>
      </c>
    </row>
    <row r="93" spans="1:2" x14ac:dyDescent="0.25">
      <c r="A93" s="14">
        <v>348</v>
      </c>
      <c r="B93" s="14">
        <v>4</v>
      </c>
    </row>
    <row r="94" spans="1:2" x14ac:dyDescent="0.25">
      <c r="A94" s="14">
        <v>317.5</v>
      </c>
      <c r="B94" s="14">
        <v>4</v>
      </c>
    </row>
    <row r="95" spans="1:2" x14ac:dyDescent="0.25">
      <c r="A95" s="14">
        <v>176.75</v>
      </c>
      <c r="B95" s="14">
        <v>4</v>
      </c>
    </row>
    <row r="96" spans="1:2" x14ac:dyDescent="0.25">
      <c r="A96" s="14">
        <v>366.79999999999995</v>
      </c>
      <c r="B96" s="14">
        <v>4</v>
      </c>
    </row>
    <row r="97" spans="1:2" x14ac:dyDescent="0.25">
      <c r="A97" s="14">
        <v>97.5</v>
      </c>
      <c r="B97" s="14">
        <v>4</v>
      </c>
    </row>
    <row r="98" spans="1:2" x14ac:dyDescent="0.25">
      <c r="A98" s="14">
        <v>687</v>
      </c>
      <c r="B98" s="14">
        <v>5</v>
      </c>
    </row>
    <row r="99" spans="1:2" x14ac:dyDescent="0.25">
      <c r="A99" s="14">
        <v>80</v>
      </c>
      <c r="B99" s="14">
        <v>5</v>
      </c>
    </row>
    <row r="100" spans="1:2" x14ac:dyDescent="0.25">
      <c r="A100" s="14">
        <v>52.5</v>
      </c>
      <c r="B100" s="14">
        <v>5</v>
      </c>
    </row>
    <row r="101" spans="1:2" x14ac:dyDescent="0.25">
      <c r="A101" s="14">
        <v>235.2</v>
      </c>
      <c r="B101" s="14">
        <v>5</v>
      </c>
    </row>
    <row r="102" spans="1:2" x14ac:dyDescent="0.25">
      <c r="A102" s="14">
        <v>122.5</v>
      </c>
      <c r="B102" s="14">
        <v>5</v>
      </c>
    </row>
    <row r="103" spans="1:2" x14ac:dyDescent="0.25">
      <c r="A103" s="14">
        <v>416</v>
      </c>
      <c r="B103" s="14">
        <v>5</v>
      </c>
    </row>
    <row r="104" spans="1:2" x14ac:dyDescent="0.25">
      <c r="A104" s="14">
        <v>57</v>
      </c>
      <c r="B104" s="14">
        <v>5</v>
      </c>
    </row>
    <row r="105" spans="1:2" x14ac:dyDescent="0.25">
      <c r="A105" s="14">
        <v>185.5</v>
      </c>
      <c r="B105" s="14">
        <v>5</v>
      </c>
    </row>
    <row r="106" spans="1:2" x14ac:dyDescent="0.25">
      <c r="A106" s="14">
        <v>578.5</v>
      </c>
      <c r="B106" s="14">
        <v>5</v>
      </c>
    </row>
    <row r="107" spans="1:2" x14ac:dyDescent="0.25">
      <c r="A107" s="14">
        <v>100.8</v>
      </c>
      <c r="B107" s="14">
        <v>5</v>
      </c>
    </row>
    <row r="108" spans="1:2" x14ac:dyDescent="0.25">
      <c r="A108" s="14">
        <v>465</v>
      </c>
      <c r="B108" s="14">
        <v>5</v>
      </c>
    </row>
    <row r="109" spans="1:2" x14ac:dyDescent="0.25">
      <c r="A109" s="14">
        <v>211.25</v>
      </c>
      <c r="B109" s="14">
        <v>5</v>
      </c>
    </row>
    <row r="110" spans="1:2" x14ac:dyDescent="0.25">
      <c r="A110" s="14">
        <v>587.5</v>
      </c>
      <c r="B110" s="14">
        <v>5</v>
      </c>
    </row>
    <row r="111" spans="1:2" x14ac:dyDescent="0.25">
      <c r="A111" s="14">
        <v>26.5</v>
      </c>
      <c r="B111" s="14">
        <v>5</v>
      </c>
    </row>
    <row r="112" spans="1:2" x14ac:dyDescent="0.25">
      <c r="A112" s="14">
        <v>37</v>
      </c>
      <c r="B112" s="14">
        <v>5</v>
      </c>
    </row>
    <row r="113" spans="1:2" x14ac:dyDescent="0.25">
      <c r="A113" s="14">
        <v>200</v>
      </c>
      <c r="B113" s="14">
        <v>5</v>
      </c>
    </row>
    <row r="114" spans="1:2" x14ac:dyDescent="0.25">
      <c r="A114" s="14">
        <v>164.5</v>
      </c>
      <c r="B114" s="14">
        <v>5</v>
      </c>
    </row>
    <row r="115" spans="1:2" x14ac:dyDescent="0.25">
      <c r="A115" s="14">
        <v>268.79999999999995</v>
      </c>
      <c r="B115" s="14">
        <v>5</v>
      </c>
    </row>
    <row r="116" spans="1:2" x14ac:dyDescent="0.25">
      <c r="A116" s="14">
        <v>55.25</v>
      </c>
      <c r="B116" s="14">
        <v>5</v>
      </c>
    </row>
    <row r="117" spans="1:2" x14ac:dyDescent="0.25">
      <c r="A117" s="14">
        <v>39.5</v>
      </c>
      <c r="B117" s="14">
        <v>5</v>
      </c>
    </row>
    <row r="118" spans="1:2" x14ac:dyDescent="0.25">
      <c r="A118" s="14">
        <v>358.4</v>
      </c>
      <c r="B118" s="14">
        <v>5</v>
      </c>
    </row>
    <row r="119" spans="1:2" x14ac:dyDescent="0.25">
      <c r="A119" s="14">
        <v>279</v>
      </c>
      <c r="B119" s="14">
        <v>5</v>
      </c>
    </row>
    <row r="120" spans="1:2" x14ac:dyDescent="0.25">
      <c r="A120" s="14">
        <v>305</v>
      </c>
      <c r="B120" s="14">
        <v>5</v>
      </c>
    </row>
    <row r="121" spans="1:2" x14ac:dyDescent="0.25">
      <c r="A121" s="14">
        <v>679.25</v>
      </c>
      <c r="B121" s="14">
        <v>5</v>
      </c>
    </row>
    <row r="122" spans="1:2" x14ac:dyDescent="0.25">
      <c r="A122" s="14">
        <v>197.75</v>
      </c>
      <c r="B122" s="14">
        <v>5</v>
      </c>
    </row>
    <row r="123" spans="1:2" x14ac:dyDescent="0.25">
      <c r="A123" s="14">
        <v>95.199999999999989</v>
      </c>
      <c r="B123" s="14">
        <v>5</v>
      </c>
    </row>
    <row r="124" spans="1:2" x14ac:dyDescent="0.25">
      <c r="A124" s="14">
        <v>410</v>
      </c>
      <c r="B124" s="14">
        <v>5</v>
      </c>
    </row>
    <row r="125" spans="1:2" x14ac:dyDescent="0.25">
      <c r="A125" s="14">
        <v>35</v>
      </c>
      <c r="B125" s="14">
        <v>5</v>
      </c>
    </row>
    <row r="126" spans="1:2" x14ac:dyDescent="0.25">
      <c r="A126" s="14">
        <v>562.25</v>
      </c>
      <c r="B126" s="14">
        <v>5</v>
      </c>
    </row>
    <row r="127" spans="1:2" x14ac:dyDescent="0.25">
      <c r="A127" s="14">
        <v>144</v>
      </c>
      <c r="B127" s="14">
        <v>5</v>
      </c>
    </row>
    <row r="128" spans="1:2" x14ac:dyDescent="0.25">
      <c r="A128" s="14">
        <v>350</v>
      </c>
      <c r="B128" s="14">
        <v>5</v>
      </c>
    </row>
    <row r="129" spans="1:2" x14ac:dyDescent="0.25">
      <c r="A129" s="14">
        <v>627</v>
      </c>
      <c r="B129" s="14">
        <v>5</v>
      </c>
    </row>
    <row r="130" spans="1:2" x14ac:dyDescent="0.25">
      <c r="A130" s="14">
        <v>604.5</v>
      </c>
      <c r="B130" s="14">
        <v>5</v>
      </c>
    </row>
    <row r="131" spans="1:2" x14ac:dyDescent="0.25">
      <c r="A131" s="14">
        <v>45</v>
      </c>
      <c r="B131" s="14">
        <v>5</v>
      </c>
    </row>
    <row r="132" spans="1:2" x14ac:dyDescent="0.25">
      <c r="A132" s="14">
        <v>385</v>
      </c>
      <c r="B132" s="14">
        <v>5</v>
      </c>
    </row>
    <row r="133" spans="1:2" x14ac:dyDescent="0.25">
      <c r="A133" s="14">
        <v>88.5</v>
      </c>
      <c r="B133" s="14">
        <v>5</v>
      </c>
    </row>
    <row r="134" spans="1:2" x14ac:dyDescent="0.25">
      <c r="A134" s="14">
        <v>165</v>
      </c>
      <c r="B134" s="14">
        <v>5</v>
      </c>
    </row>
    <row r="135" spans="1:2" x14ac:dyDescent="0.25">
      <c r="A135" s="14">
        <v>120.75</v>
      </c>
      <c r="B135" s="14">
        <v>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049E-782A-C443-AC0E-361D9D89A512}">
  <dimension ref="A1:P28"/>
  <sheetViews>
    <sheetView tabSelected="1" workbookViewId="0">
      <selection activeCell="M16" sqref="M16"/>
    </sheetView>
  </sheetViews>
  <sheetFormatPr baseColWidth="10" defaultColWidth="11.5" defaultRowHeight="15" x14ac:dyDescent="0.2"/>
  <cols>
    <col min="1" max="1" width="30.33203125" bestFit="1" customWidth="1"/>
    <col min="2" max="2" width="12.5" bestFit="1" customWidth="1"/>
    <col min="3" max="3" width="15.6640625" bestFit="1" customWidth="1"/>
    <col min="4" max="4" width="12.5" bestFit="1" customWidth="1"/>
    <col min="5" max="5" width="13.1640625" bestFit="1" customWidth="1"/>
    <col min="6" max="6" width="11" bestFit="1" customWidth="1"/>
    <col min="7" max="7" width="15.33203125" customWidth="1"/>
    <col min="8" max="8" width="20" bestFit="1" customWidth="1"/>
    <col min="14" max="14" width="28.83203125" bestFit="1" customWidth="1"/>
    <col min="15" max="15" width="11.5" bestFit="1" customWidth="1"/>
    <col min="16" max="16" width="17.1640625" bestFit="1" customWidth="1"/>
    <col min="17" max="18" width="7.5" bestFit="1" customWidth="1"/>
    <col min="19" max="19" width="8.33203125" bestFit="1" customWidth="1"/>
    <col min="20" max="24" width="7.5" bestFit="1" customWidth="1"/>
    <col min="25" max="25" width="8.33203125" bestFit="1" customWidth="1"/>
    <col min="26" max="29" width="7.5" bestFit="1" customWidth="1"/>
    <col min="30" max="30" width="8.33203125" bestFit="1" customWidth="1"/>
    <col min="31" max="31" width="7.5" bestFit="1" customWidth="1"/>
    <col min="32" max="32" width="8.33203125" bestFit="1" customWidth="1"/>
    <col min="33" max="33" width="7.5" bestFit="1" customWidth="1"/>
    <col min="34" max="34" width="8.33203125" bestFit="1" customWidth="1"/>
    <col min="35" max="36" width="7.5" bestFit="1" customWidth="1"/>
    <col min="37" max="40" width="8.33203125" bestFit="1" customWidth="1"/>
    <col min="41" max="42" width="7.5" bestFit="1" customWidth="1"/>
    <col min="43" max="43" width="8.33203125" bestFit="1" customWidth="1"/>
    <col min="44" max="44" width="7.5" bestFit="1" customWidth="1"/>
    <col min="45" max="57" width="8.33203125" bestFit="1" customWidth="1"/>
    <col min="58" max="58" width="7.5" bestFit="1" customWidth="1"/>
    <col min="59" max="62" width="8.33203125" bestFit="1" customWidth="1"/>
    <col min="63" max="63" width="7.5" bestFit="1" customWidth="1"/>
    <col min="64" max="72" width="8.33203125" bestFit="1" customWidth="1"/>
    <col min="73" max="73" width="7.5" bestFit="1" customWidth="1"/>
    <col min="74" max="78" width="8.33203125" bestFit="1" customWidth="1"/>
    <col min="79" max="80" width="7.5" bestFit="1" customWidth="1"/>
    <col min="81" max="82" width="8.33203125" bestFit="1" customWidth="1"/>
    <col min="83" max="83" width="9.83203125" bestFit="1" customWidth="1"/>
    <col min="84" max="84" width="8.33203125" bestFit="1" customWidth="1"/>
    <col min="85" max="85" width="7.5" bestFit="1" customWidth="1"/>
    <col min="86" max="89" width="8.33203125" bestFit="1" customWidth="1"/>
    <col min="90" max="90" width="7.5" bestFit="1" customWidth="1"/>
    <col min="91" max="96" width="8.33203125" bestFit="1" customWidth="1"/>
    <col min="97" max="97" width="7.5" bestFit="1" customWidth="1"/>
    <col min="98" max="101" width="8.33203125" bestFit="1" customWidth="1"/>
    <col min="102" max="102" width="9.83203125" bestFit="1" customWidth="1"/>
    <col min="103" max="103" width="8.33203125" bestFit="1" customWidth="1"/>
    <col min="104" max="104" width="9.83203125" bestFit="1" customWidth="1"/>
    <col min="105" max="105" width="8.33203125" bestFit="1" customWidth="1"/>
    <col min="106" max="106" width="9.83203125" bestFit="1" customWidth="1"/>
    <col min="107" max="119" width="8.33203125" bestFit="1" customWidth="1"/>
    <col min="120" max="120" width="10.6640625" bestFit="1" customWidth="1"/>
  </cols>
  <sheetData>
    <row r="1" spans="1:16" ht="17" x14ac:dyDescent="0.2">
      <c r="A1" s="28" t="s">
        <v>83</v>
      </c>
      <c r="B1" s="15" t="s">
        <v>86</v>
      </c>
      <c r="C1" s="15" t="s">
        <v>85</v>
      </c>
      <c r="D1" s="15" t="s">
        <v>84</v>
      </c>
    </row>
    <row r="2" spans="1:16" ht="17" x14ac:dyDescent="0.2">
      <c r="A2" s="16" t="s">
        <v>18</v>
      </c>
      <c r="B2" s="17">
        <v>1878</v>
      </c>
      <c r="C2" s="17">
        <v>4695</v>
      </c>
      <c r="D2" s="17">
        <v>2817</v>
      </c>
      <c r="N2" s="31" t="s">
        <v>83</v>
      </c>
      <c r="O2" s="32" t="s">
        <v>87</v>
      </c>
      <c r="P2" s="32" t="s">
        <v>81</v>
      </c>
    </row>
    <row r="3" spans="1:16" ht="17" x14ac:dyDescent="0.2">
      <c r="A3" s="16" t="s">
        <v>28</v>
      </c>
      <c r="B3" s="17">
        <v>325.5</v>
      </c>
      <c r="C3" s="17">
        <v>651</v>
      </c>
      <c r="D3" s="17">
        <v>325.5</v>
      </c>
      <c r="N3" s="29" t="s">
        <v>28</v>
      </c>
      <c r="O3" s="30">
        <v>3661</v>
      </c>
      <c r="P3" s="30">
        <v>1830.5</v>
      </c>
    </row>
    <row r="4" spans="1:16" ht="17" x14ac:dyDescent="0.2">
      <c r="A4" s="16" t="s">
        <v>30</v>
      </c>
      <c r="B4" s="17">
        <v>1841.4</v>
      </c>
      <c r="C4" s="17">
        <v>4185</v>
      </c>
      <c r="D4" s="17">
        <v>2343.5999999999995</v>
      </c>
      <c r="N4" s="29" t="s">
        <v>29</v>
      </c>
      <c r="O4" s="30">
        <v>9330</v>
      </c>
      <c r="P4" s="30">
        <v>5442.5</v>
      </c>
    </row>
    <row r="5" spans="1:16" ht="17" x14ac:dyDescent="0.2">
      <c r="A5" s="16" t="s">
        <v>31</v>
      </c>
      <c r="B5" s="17">
        <v>1812</v>
      </c>
      <c r="C5" s="17">
        <v>4832</v>
      </c>
      <c r="D5" s="17">
        <v>3020</v>
      </c>
      <c r="N5" s="29" t="s">
        <v>31</v>
      </c>
      <c r="O5" s="30">
        <v>11004</v>
      </c>
      <c r="P5" s="30">
        <v>6877.5</v>
      </c>
    </row>
    <row r="6" spans="1:16" ht="17" x14ac:dyDescent="0.2">
      <c r="A6" s="16" t="s">
        <v>29</v>
      </c>
      <c r="B6" s="17">
        <v>1916.25</v>
      </c>
      <c r="C6" s="17">
        <v>4599</v>
      </c>
      <c r="D6" s="17">
        <v>2682.75</v>
      </c>
      <c r="N6" s="29" t="s">
        <v>30</v>
      </c>
      <c r="O6" s="30">
        <v>13480</v>
      </c>
      <c r="P6" s="30">
        <v>7548.7999999999984</v>
      </c>
    </row>
    <row r="7" spans="1:16" ht="17" x14ac:dyDescent="0.2">
      <c r="A7" s="16" t="s">
        <v>32</v>
      </c>
      <c r="B7" s="17">
        <v>2640</v>
      </c>
      <c r="C7" s="17">
        <v>5760</v>
      </c>
      <c r="D7" s="17">
        <v>3120</v>
      </c>
      <c r="N7" s="29" t="s">
        <v>18</v>
      </c>
      <c r="O7" s="30">
        <v>14685</v>
      </c>
      <c r="P7" s="30">
        <v>8811</v>
      </c>
    </row>
    <row r="8" spans="1:16" ht="17" x14ac:dyDescent="0.2">
      <c r="A8" s="16" t="s">
        <v>82</v>
      </c>
      <c r="B8" s="17">
        <v>10413.15</v>
      </c>
      <c r="C8" s="17">
        <v>24722</v>
      </c>
      <c r="D8" s="17">
        <v>14308.849999999999</v>
      </c>
      <c r="N8" s="29" t="s">
        <v>32</v>
      </c>
      <c r="O8" s="30">
        <v>15042</v>
      </c>
      <c r="P8" s="30">
        <v>8147.75</v>
      </c>
    </row>
    <row r="9" spans="1:16" ht="16" x14ac:dyDescent="0.2">
      <c r="N9" s="29" t="s">
        <v>82</v>
      </c>
      <c r="O9" s="30">
        <v>67202</v>
      </c>
      <c r="P9" s="30">
        <v>38658.050000000003</v>
      </c>
    </row>
    <row r="11" spans="1:16" ht="17" x14ac:dyDescent="0.2">
      <c r="A11" s="28" t="s">
        <v>83</v>
      </c>
      <c r="B11" s="15" t="s">
        <v>102</v>
      </c>
    </row>
    <row r="12" spans="1:16" ht="17" x14ac:dyDescent="0.2">
      <c r="A12" s="16" t="s">
        <v>28</v>
      </c>
      <c r="B12" s="18">
        <v>3661</v>
      </c>
      <c r="N12" s="41" t="s">
        <v>83</v>
      </c>
      <c r="O12" s="42" t="s">
        <v>86</v>
      </c>
      <c r="P12" s="42" t="s">
        <v>102</v>
      </c>
    </row>
    <row r="13" spans="1:16" ht="17" x14ac:dyDescent="0.2">
      <c r="A13" s="16" t="s">
        <v>29</v>
      </c>
      <c r="B13" s="18">
        <v>3110</v>
      </c>
      <c r="N13" s="43" t="s">
        <v>28</v>
      </c>
      <c r="O13" s="44">
        <v>1830.5</v>
      </c>
      <c r="P13" s="45">
        <v>3661</v>
      </c>
    </row>
    <row r="14" spans="1:16" ht="17" x14ac:dyDescent="0.2">
      <c r="A14" s="16" t="s">
        <v>18</v>
      </c>
      <c r="B14" s="18">
        <v>2937</v>
      </c>
      <c r="N14" s="43" t="s">
        <v>29</v>
      </c>
      <c r="O14" s="44">
        <v>3887.5</v>
      </c>
      <c r="P14" s="45">
        <v>3110</v>
      </c>
    </row>
    <row r="15" spans="1:16" ht="17" x14ac:dyDescent="0.2">
      <c r="A15" s="16" t="s">
        <v>31</v>
      </c>
      <c r="B15" s="18">
        <v>2751</v>
      </c>
      <c r="N15" s="43" t="s">
        <v>18</v>
      </c>
      <c r="O15" s="44">
        <v>5874</v>
      </c>
      <c r="P15" s="45">
        <v>2937</v>
      </c>
    </row>
    <row r="16" spans="1:16" ht="17" x14ac:dyDescent="0.2">
      <c r="A16" s="16" t="s">
        <v>30</v>
      </c>
      <c r="B16" s="18">
        <v>2696</v>
      </c>
      <c r="N16" s="43" t="s">
        <v>31</v>
      </c>
      <c r="O16" s="44">
        <v>4126.5</v>
      </c>
      <c r="P16" s="45">
        <v>2751</v>
      </c>
    </row>
    <row r="17" spans="1:16" ht="17" x14ac:dyDescent="0.2">
      <c r="A17" s="16" t="s">
        <v>32</v>
      </c>
      <c r="B17" s="18">
        <v>2507</v>
      </c>
      <c r="N17" s="43" t="s">
        <v>30</v>
      </c>
      <c r="O17" s="44">
        <v>5931.2000000000007</v>
      </c>
      <c r="P17" s="45">
        <v>2696</v>
      </c>
    </row>
    <row r="18" spans="1:16" ht="17" x14ac:dyDescent="0.2">
      <c r="A18" s="16" t="s">
        <v>88</v>
      </c>
      <c r="B18" s="18">
        <v>17662</v>
      </c>
      <c r="N18" s="43" t="s">
        <v>32</v>
      </c>
      <c r="O18" s="44">
        <v>6894.25</v>
      </c>
      <c r="P18" s="45">
        <v>2507</v>
      </c>
    </row>
    <row r="19" spans="1:16" ht="16" x14ac:dyDescent="0.2">
      <c r="N19" s="43" t="s">
        <v>82</v>
      </c>
      <c r="O19" s="44">
        <v>28543.95</v>
      </c>
      <c r="P19" s="45">
        <v>17662</v>
      </c>
    </row>
    <row r="22" spans="1:16" x14ac:dyDescent="0.2">
      <c r="F22" s="27" t="s">
        <v>13</v>
      </c>
      <c r="G22" s="26" t="s">
        <v>84</v>
      </c>
    </row>
    <row r="23" spans="1:16" x14ac:dyDescent="0.2">
      <c r="F23" s="12" t="s">
        <v>23</v>
      </c>
      <c r="G23" s="13">
        <v>10021.9</v>
      </c>
    </row>
    <row r="24" spans="1:16" x14ac:dyDescent="0.2">
      <c r="F24" s="12" t="s">
        <v>37</v>
      </c>
      <c r="G24" s="13">
        <v>9145.1500000000015</v>
      </c>
    </row>
    <row r="25" spans="1:16" x14ac:dyDescent="0.2">
      <c r="F25" s="12" t="s">
        <v>61</v>
      </c>
      <c r="G25" s="13">
        <v>8515.6999999999989</v>
      </c>
    </row>
    <row r="26" spans="1:16" x14ac:dyDescent="0.2">
      <c r="F26" s="12" t="s">
        <v>53</v>
      </c>
      <c r="G26" s="13">
        <v>6009.3</v>
      </c>
    </row>
    <row r="27" spans="1:16" x14ac:dyDescent="0.2">
      <c r="F27" s="12" t="s">
        <v>45</v>
      </c>
      <c r="G27" s="13">
        <v>4966</v>
      </c>
    </row>
    <row r="28" spans="1:16" x14ac:dyDescent="0.2">
      <c r="F28" s="12" t="s">
        <v>82</v>
      </c>
      <c r="G28" s="13">
        <v>38658.050000000003</v>
      </c>
    </row>
  </sheetData>
  <sortState xmlns:xlrd2="http://schemas.microsoft.com/office/spreadsheetml/2017/richdata2" ref="N2:P9">
    <sortCondition descending="1" ref="O2"/>
  </sortState>
  <conditionalFormatting pivot="1" sqref="D2:D7">
    <cfRule type="dataBar" priority="3">
      <dataBar>
        <cfvo type="min"/>
        <cfvo type="max"/>
        <color rgb="FFFFB628"/>
      </dataBar>
      <extLst>
        <ext xmlns:x14="http://schemas.microsoft.com/office/spreadsheetml/2009/9/main" uri="{B025F937-C7B1-47D3-B67F-A62EFF666E3E}">
          <x14:id>{54798889-612C-A447-941A-91BE1B4B7E08}</x14:id>
        </ext>
      </extLst>
    </cfRule>
  </conditionalFormatting>
  <conditionalFormatting pivot="1" sqref="B2:C7">
    <cfRule type="dataBar" priority="2">
      <dataBar>
        <cfvo type="min"/>
        <cfvo type="max"/>
        <color rgb="FFFFB628"/>
      </dataBar>
      <extLst>
        <ext xmlns:x14="http://schemas.microsoft.com/office/spreadsheetml/2009/9/main" uri="{B025F937-C7B1-47D3-B67F-A62EFF666E3E}">
          <x14:id>{31901847-A012-D64A-A7A6-CD3B84F24243}</x14:id>
        </ext>
      </extLst>
    </cfRule>
  </conditionalFormatting>
  <pageMargins left="0.7" right="0.7" top="0.75" bottom="0.75" header="0.3" footer="0.3"/>
  <pageSetup paperSize="9" orientation="portrait" horizontalDpi="0" verticalDpi="0"/>
  <drawing r:id="rId6"/>
  <extLst>
    <ext xmlns:x14="http://schemas.microsoft.com/office/spreadsheetml/2009/9/main" uri="{78C0D931-6437-407d-A8EE-F0AAD7539E65}">
      <x14:conditionalFormattings>
        <x14:conditionalFormatting xmlns:xm="http://schemas.microsoft.com/office/excel/2006/main" pivot="1">
          <x14:cfRule type="dataBar" id="{54798889-612C-A447-941A-91BE1B4B7E08}">
            <x14:dataBar minLength="0" maxLength="100" border="1" negativeBarBorderColorSameAsPositive="0">
              <x14:cfvo type="autoMin"/>
              <x14:cfvo type="autoMax"/>
              <x14:borderColor rgb="FFFFB628"/>
              <x14:negativeFillColor rgb="FFFF0000"/>
              <x14:negativeBorderColor rgb="FFFF0000"/>
              <x14:axisColor rgb="FF000000"/>
            </x14:dataBar>
          </x14:cfRule>
          <xm:sqref>D2:D7</xm:sqref>
        </x14:conditionalFormatting>
        <x14:conditionalFormatting xmlns:xm="http://schemas.microsoft.com/office/excel/2006/main" pivot="1">
          <x14:cfRule type="dataBar" id="{31901847-A012-D64A-A7A6-CD3B84F24243}">
            <x14:dataBar minLength="0" maxLength="100" border="1" negativeBarBorderColorSameAsPositive="0">
              <x14:cfvo type="autoMin"/>
              <x14:cfvo type="autoMax"/>
              <x14:borderColor rgb="FFFFB628"/>
              <x14:negativeFillColor rgb="FFFF0000"/>
              <x14:negativeBorderColor rgb="FFFF0000"/>
              <x14:axisColor rgb="FF000000"/>
            </x14:dataBar>
          </x14:cfRule>
          <xm:sqref>B2:C7</xm:sqref>
        </x14:conditionalFormatting>
      </x14:conditionalFormattings>
    </ex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A566-7CF6-D94B-B90A-F8FAC91086BE}">
  <dimension ref="A1:H15"/>
  <sheetViews>
    <sheetView workbookViewId="0">
      <selection activeCell="H3" sqref="H3"/>
    </sheetView>
  </sheetViews>
  <sheetFormatPr baseColWidth="10" defaultRowHeight="15" x14ac:dyDescent="0.2"/>
  <cols>
    <col min="1" max="1" width="18.6640625" customWidth="1"/>
    <col min="2" max="2" width="17.5" customWidth="1"/>
    <col min="3" max="3" width="7.33203125" customWidth="1"/>
    <col min="4" max="4" width="23.1640625" customWidth="1"/>
    <col min="5" max="5" width="17.5" customWidth="1"/>
    <col min="6" max="6" width="7.1640625" customWidth="1"/>
    <col min="7" max="7" width="21.33203125" customWidth="1"/>
    <col min="8" max="8" width="19.6640625" customWidth="1"/>
  </cols>
  <sheetData>
    <row r="1" spans="1:8" ht="19" x14ac:dyDescent="0.25">
      <c r="A1" s="46" t="s">
        <v>66</v>
      </c>
      <c r="B1" s="46"/>
      <c r="C1" s="37"/>
      <c r="D1" s="46" t="s">
        <v>67</v>
      </c>
      <c r="E1" s="46"/>
      <c r="F1" s="37"/>
      <c r="G1" s="46" t="s">
        <v>68</v>
      </c>
      <c r="H1" s="46"/>
    </row>
    <row r="2" spans="1:8" ht="19" x14ac:dyDescent="0.25">
      <c r="A2" s="38"/>
      <c r="B2" s="38"/>
      <c r="C2" s="14"/>
      <c r="D2" s="38"/>
      <c r="E2" s="38"/>
      <c r="F2" s="14"/>
      <c r="G2" s="38"/>
      <c r="H2" s="38"/>
    </row>
    <row r="3" spans="1:8" ht="19" x14ac:dyDescent="0.25">
      <c r="A3" s="38" t="s">
        <v>89</v>
      </c>
      <c r="B3" s="39">
        <v>501.50746268656718</v>
      </c>
      <c r="C3" s="36"/>
      <c r="D3" s="38" t="s">
        <v>89</v>
      </c>
      <c r="E3" s="39">
        <v>213.01455223880595</v>
      </c>
      <c r="F3" s="36"/>
      <c r="G3" s="38" t="s">
        <v>89</v>
      </c>
      <c r="H3" s="39">
        <v>288.49291044776129</v>
      </c>
    </row>
    <row r="4" spans="1:8" ht="19" x14ac:dyDescent="0.25">
      <c r="A4" s="38" t="s">
        <v>90</v>
      </c>
      <c r="B4" s="38">
        <v>30.131436434304081</v>
      </c>
      <c r="C4" s="14"/>
      <c r="D4" s="38" t="s">
        <v>90</v>
      </c>
      <c r="E4" s="38">
        <v>12.894030033296756</v>
      </c>
      <c r="F4" s="14"/>
      <c r="G4" s="38" t="s">
        <v>90</v>
      </c>
      <c r="H4" s="38">
        <v>17.418281541458988</v>
      </c>
    </row>
    <row r="5" spans="1:8" ht="19" x14ac:dyDescent="0.25">
      <c r="A5" s="38" t="s">
        <v>91</v>
      </c>
      <c r="B5" s="39">
        <v>427.5</v>
      </c>
      <c r="C5" s="36"/>
      <c r="D5" s="38" t="s">
        <v>91</v>
      </c>
      <c r="E5" s="39">
        <v>183.9</v>
      </c>
      <c r="F5" s="36"/>
      <c r="G5" s="38" t="s">
        <v>91</v>
      </c>
      <c r="H5" s="39">
        <v>246.75</v>
      </c>
    </row>
    <row r="6" spans="1:8" ht="19" x14ac:dyDescent="0.25">
      <c r="A6" s="38" t="s">
        <v>92</v>
      </c>
      <c r="B6" s="39">
        <v>108</v>
      </c>
      <c r="C6" s="36"/>
      <c r="D6" s="38" t="s">
        <v>92</v>
      </c>
      <c r="E6" s="39">
        <v>49.5</v>
      </c>
      <c r="F6" s="36"/>
      <c r="G6" s="38" t="s">
        <v>92</v>
      </c>
      <c r="H6" s="39">
        <v>58.5</v>
      </c>
    </row>
    <row r="7" spans="1:8" ht="19" x14ac:dyDescent="0.25">
      <c r="A7" s="38" t="s">
        <v>93</v>
      </c>
      <c r="B7" s="38">
        <v>348.79659381029512</v>
      </c>
      <c r="C7" s="14"/>
      <c r="D7" s="38" t="s">
        <v>93</v>
      </c>
      <c r="E7" s="38">
        <v>149.25918868512207</v>
      </c>
      <c r="F7" s="14"/>
      <c r="G7" s="38" t="s">
        <v>93</v>
      </c>
      <c r="H7" s="38">
        <v>201.63118625081077</v>
      </c>
    </row>
    <row r="8" spans="1:8" ht="19" x14ac:dyDescent="0.25">
      <c r="A8" s="38" t="s">
        <v>94</v>
      </c>
      <c r="B8" s="38">
        <v>121659.063853664</v>
      </c>
      <c r="C8" s="14"/>
      <c r="D8" s="38" t="s">
        <v>94</v>
      </c>
      <c r="E8" s="38">
        <v>22278.305406940868</v>
      </c>
      <c r="F8" s="14"/>
      <c r="G8" s="38" t="s">
        <v>94</v>
      </c>
      <c r="H8" s="38">
        <v>40655.135268909144</v>
      </c>
    </row>
    <row r="9" spans="1:8" ht="19" x14ac:dyDescent="0.25">
      <c r="A9" s="38" t="s">
        <v>95</v>
      </c>
      <c r="B9" s="38">
        <v>-0.75418128784679572</v>
      </c>
      <c r="C9" s="14"/>
      <c r="D9" s="38" t="s">
        <v>95</v>
      </c>
      <c r="E9" s="38">
        <v>-0.29589968839642777</v>
      </c>
      <c r="F9" s="14"/>
      <c r="G9" s="38" t="s">
        <v>95</v>
      </c>
      <c r="H9" s="38">
        <v>-0.95619894564651409</v>
      </c>
    </row>
    <row r="10" spans="1:8" ht="19" x14ac:dyDescent="0.25">
      <c r="A10" s="38" t="s">
        <v>96</v>
      </c>
      <c r="B10" s="38">
        <v>0.55623602203430567</v>
      </c>
      <c r="C10" s="14"/>
      <c r="D10" s="38" t="s">
        <v>96</v>
      </c>
      <c r="E10" s="38">
        <v>0.73527179475882243</v>
      </c>
      <c r="F10" s="14"/>
      <c r="G10" s="38" t="s">
        <v>96</v>
      </c>
      <c r="H10" s="38">
        <v>0.46674091074915702</v>
      </c>
    </row>
    <row r="11" spans="1:8" ht="19" x14ac:dyDescent="0.25">
      <c r="A11" s="38" t="s">
        <v>97</v>
      </c>
      <c r="B11" s="39">
        <v>1377</v>
      </c>
      <c r="C11" s="36"/>
      <c r="D11" s="38" t="s">
        <v>97</v>
      </c>
      <c r="E11" s="39">
        <v>632.5</v>
      </c>
      <c r="F11" s="36"/>
      <c r="G11" s="38" t="s">
        <v>97</v>
      </c>
      <c r="H11" s="39">
        <v>744.5</v>
      </c>
    </row>
    <row r="12" spans="1:8" ht="19" x14ac:dyDescent="0.25">
      <c r="A12" s="38" t="s">
        <v>98</v>
      </c>
      <c r="B12" s="39">
        <v>33</v>
      </c>
      <c r="C12" s="36"/>
      <c r="D12" s="38" t="s">
        <v>98</v>
      </c>
      <c r="E12" s="39">
        <v>13.75</v>
      </c>
      <c r="F12" s="36"/>
      <c r="G12" s="38" t="s">
        <v>98</v>
      </c>
      <c r="H12" s="39">
        <v>19.25</v>
      </c>
    </row>
    <row r="13" spans="1:8" ht="19" x14ac:dyDescent="0.25">
      <c r="A13" s="38" t="s">
        <v>99</v>
      </c>
      <c r="B13" s="39">
        <v>1410</v>
      </c>
      <c r="C13" s="36"/>
      <c r="D13" s="38" t="s">
        <v>99</v>
      </c>
      <c r="E13" s="39">
        <v>646.25</v>
      </c>
      <c r="F13" s="36"/>
      <c r="G13" s="38" t="s">
        <v>99</v>
      </c>
      <c r="H13" s="39">
        <v>763.75</v>
      </c>
    </row>
    <row r="14" spans="1:8" ht="19" x14ac:dyDescent="0.25">
      <c r="A14" s="38" t="s">
        <v>100</v>
      </c>
      <c r="B14" s="39">
        <v>67202</v>
      </c>
      <c r="C14" s="36"/>
      <c r="D14" s="38" t="s">
        <v>100</v>
      </c>
      <c r="E14" s="39">
        <v>28543.949999999997</v>
      </c>
      <c r="F14" s="36"/>
      <c r="G14" s="38" t="s">
        <v>100</v>
      </c>
      <c r="H14" s="39">
        <v>38658.05000000001</v>
      </c>
    </row>
    <row r="15" spans="1:8" ht="20" thickBot="1" x14ac:dyDescent="0.3">
      <c r="A15" s="38" t="s">
        <v>101</v>
      </c>
      <c r="B15" s="38">
        <v>134</v>
      </c>
      <c r="C15" s="35"/>
      <c r="D15" s="38" t="s">
        <v>101</v>
      </c>
      <c r="E15" s="38">
        <v>134</v>
      </c>
      <c r="F15" s="35"/>
      <c r="G15" s="38" t="s">
        <v>101</v>
      </c>
      <c r="H15" s="38">
        <v>134</v>
      </c>
    </row>
  </sheetData>
  <mergeCells count="3">
    <mergeCell ref="A1:B1"/>
    <mergeCell ref="D1:E1"/>
    <mergeCell ref="G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F018C-7230-7A4C-97F7-9A27269B6311}">
  <dimension ref="A1:G135"/>
  <sheetViews>
    <sheetView zoomScale="125" zoomScaleNormal="125" workbookViewId="0">
      <selection activeCell="G23" sqref="G23"/>
    </sheetView>
  </sheetViews>
  <sheetFormatPr baseColWidth="10" defaultRowHeight="15" x14ac:dyDescent="0.2"/>
  <cols>
    <col min="2" max="2" width="11" customWidth="1"/>
  </cols>
  <sheetData>
    <row r="1" spans="1:7" ht="16" thickBot="1" x14ac:dyDescent="0.25">
      <c r="A1" s="20" t="s">
        <v>67</v>
      </c>
      <c r="B1" s="20" t="s">
        <v>7</v>
      </c>
      <c r="C1" t="s">
        <v>66</v>
      </c>
    </row>
    <row r="2" spans="1:7" x14ac:dyDescent="0.2">
      <c r="A2">
        <v>123</v>
      </c>
      <c r="B2">
        <v>82</v>
      </c>
      <c r="C2">
        <v>328</v>
      </c>
      <c r="E2" s="34"/>
      <c r="F2" s="34" t="s">
        <v>67</v>
      </c>
      <c r="G2" s="34" t="s">
        <v>7</v>
      </c>
    </row>
    <row r="3" spans="1:7" x14ac:dyDescent="0.2">
      <c r="A3">
        <v>55.000000000000007</v>
      </c>
      <c r="B3">
        <v>25</v>
      </c>
      <c r="C3">
        <v>125</v>
      </c>
      <c r="E3" t="s">
        <v>67</v>
      </c>
      <c r="F3">
        <v>1</v>
      </c>
    </row>
    <row r="4" spans="1:7" ht="16" thickBot="1" x14ac:dyDescent="0.25">
      <c r="A4">
        <v>104.5</v>
      </c>
      <c r="B4">
        <v>209</v>
      </c>
      <c r="C4">
        <v>209</v>
      </c>
      <c r="E4" s="33" t="s">
        <v>7</v>
      </c>
      <c r="F4" s="33">
        <v>0.67429936165694371</v>
      </c>
      <c r="G4" s="33">
        <v>1</v>
      </c>
    </row>
    <row r="5" spans="1:7" x14ac:dyDescent="0.2">
      <c r="A5">
        <v>31.25</v>
      </c>
      <c r="B5">
        <v>25</v>
      </c>
      <c r="C5">
        <v>75</v>
      </c>
    </row>
    <row r="6" spans="1:7" x14ac:dyDescent="0.2">
      <c r="A6">
        <v>342</v>
      </c>
      <c r="B6">
        <v>171</v>
      </c>
      <c r="C6">
        <v>855</v>
      </c>
    </row>
    <row r="7" spans="1:7" x14ac:dyDescent="0.2">
      <c r="A7">
        <v>246.25</v>
      </c>
      <c r="B7">
        <v>197</v>
      </c>
      <c r="C7">
        <v>591</v>
      </c>
    </row>
    <row r="8" spans="1:7" x14ac:dyDescent="0.2">
      <c r="A8">
        <v>117</v>
      </c>
      <c r="B8">
        <v>234</v>
      </c>
      <c r="C8">
        <v>234</v>
      </c>
    </row>
    <row r="9" spans="1:7" x14ac:dyDescent="0.2">
      <c r="A9">
        <v>171.60000000000002</v>
      </c>
      <c r="B9">
        <v>78</v>
      </c>
      <c r="C9">
        <v>390</v>
      </c>
    </row>
    <row r="10" spans="1:7" x14ac:dyDescent="0.2">
      <c r="A10">
        <v>71.5</v>
      </c>
      <c r="B10">
        <v>26</v>
      </c>
      <c r="C10">
        <v>156</v>
      </c>
    </row>
    <row r="11" spans="1:7" x14ac:dyDescent="0.2">
      <c r="A11">
        <v>113.5</v>
      </c>
      <c r="B11">
        <v>227</v>
      </c>
      <c r="C11">
        <v>227</v>
      </c>
    </row>
    <row r="12" spans="1:7" x14ac:dyDescent="0.2">
      <c r="A12">
        <v>190</v>
      </c>
      <c r="B12">
        <v>152</v>
      </c>
      <c r="C12">
        <v>456</v>
      </c>
    </row>
    <row r="13" spans="1:7" x14ac:dyDescent="0.2">
      <c r="A13">
        <v>338</v>
      </c>
      <c r="B13">
        <v>169</v>
      </c>
      <c r="C13">
        <v>845</v>
      </c>
    </row>
    <row r="14" spans="1:7" x14ac:dyDescent="0.2">
      <c r="A14">
        <v>306</v>
      </c>
      <c r="B14">
        <v>204</v>
      </c>
      <c r="C14">
        <v>816</v>
      </c>
    </row>
    <row r="15" spans="1:7" x14ac:dyDescent="0.2">
      <c r="A15">
        <v>274</v>
      </c>
      <c r="B15">
        <v>137</v>
      </c>
      <c r="C15">
        <v>685</v>
      </c>
    </row>
    <row r="16" spans="1:7" x14ac:dyDescent="0.2">
      <c r="A16">
        <v>19.5</v>
      </c>
      <c r="B16">
        <v>13</v>
      </c>
      <c r="C16">
        <v>52</v>
      </c>
    </row>
    <row r="17" spans="1:3" x14ac:dyDescent="0.2">
      <c r="A17">
        <v>191.4</v>
      </c>
      <c r="B17">
        <v>87</v>
      </c>
      <c r="C17">
        <v>435</v>
      </c>
    </row>
    <row r="18" spans="1:3" x14ac:dyDescent="0.2">
      <c r="A18">
        <v>61.5</v>
      </c>
      <c r="B18">
        <v>123</v>
      </c>
      <c r="C18">
        <v>123</v>
      </c>
    </row>
    <row r="19" spans="1:3" x14ac:dyDescent="0.2">
      <c r="A19">
        <v>325.5</v>
      </c>
      <c r="B19">
        <v>217</v>
      </c>
      <c r="C19">
        <v>868</v>
      </c>
    </row>
    <row r="20" spans="1:3" x14ac:dyDescent="0.2">
      <c r="A20">
        <v>150</v>
      </c>
      <c r="B20">
        <v>120</v>
      </c>
      <c r="C20">
        <v>360</v>
      </c>
    </row>
    <row r="21" spans="1:3" x14ac:dyDescent="0.2">
      <c r="A21">
        <v>220.5</v>
      </c>
      <c r="B21">
        <v>147</v>
      </c>
      <c r="C21">
        <v>588</v>
      </c>
    </row>
    <row r="22" spans="1:3" x14ac:dyDescent="0.2">
      <c r="A22">
        <v>164</v>
      </c>
      <c r="B22">
        <v>82</v>
      </c>
      <c r="C22">
        <v>410</v>
      </c>
    </row>
    <row r="23" spans="1:3" x14ac:dyDescent="0.2">
      <c r="A23">
        <v>225</v>
      </c>
      <c r="B23">
        <v>180</v>
      </c>
      <c r="C23">
        <v>540</v>
      </c>
    </row>
    <row r="24" spans="1:3" x14ac:dyDescent="0.2">
      <c r="A24">
        <v>49.5</v>
      </c>
      <c r="B24">
        <v>18</v>
      </c>
      <c r="C24">
        <v>108</v>
      </c>
    </row>
    <row r="25" spans="1:3" x14ac:dyDescent="0.2">
      <c r="A25">
        <v>444.40000000000003</v>
      </c>
      <c r="B25">
        <v>202</v>
      </c>
      <c r="C25">
        <v>1010</v>
      </c>
    </row>
    <row r="26" spans="1:3" x14ac:dyDescent="0.2">
      <c r="A26">
        <v>85</v>
      </c>
      <c r="B26">
        <v>170</v>
      </c>
      <c r="C26">
        <v>170</v>
      </c>
    </row>
    <row r="27" spans="1:3" x14ac:dyDescent="0.2">
      <c r="A27">
        <v>49.5</v>
      </c>
      <c r="B27">
        <v>18</v>
      </c>
      <c r="C27">
        <v>108</v>
      </c>
    </row>
    <row r="28" spans="1:3" x14ac:dyDescent="0.2">
      <c r="A28">
        <v>444.40000000000003</v>
      </c>
      <c r="B28">
        <v>202</v>
      </c>
      <c r="C28">
        <v>1010</v>
      </c>
    </row>
    <row r="29" spans="1:3" x14ac:dyDescent="0.2">
      <c r="A29">
        <v>113</v>
      </c>
      <c r="B29">
        <v>226</v>
      </c>
      <c r="C29">
        <v>226</v>
      </c>
    </row>
    <row r="30" spans="1:3" x14ac:dyDescent="0.2">
      <c r="A30">
        <v>148.5</v>
      </c>
      <c r="B30">
        <v>99</v>
      </c>
      <c r="C30">
        <v>396</v>
      </c>
    </row>
    <row r="31" spans="1:3" x14ac:dyDescent="0.2">
      <c r="A31">
        <v>238</v>
      </c>
      <c r="B31">
        <v>119</v>
      </c>
      <c r="C31">
        <v>595</v>
      </c>
    </row>
    <row r="32" spans="1:3" x14ac:dyDescent="0.2">
      <c r="A32">
        <v>336.6</v>
      </c>
      <c r="B32">
        <v>153</v>
      </c>
      <c r="C32">
        <v>765</v>
      </c>
    </row>
    <row r="33" spans="1:3" x14ac:dyDescent="0.2">
      <c r="A33">
        <v>354.75</v>
      </c>
      <c r="B33">
        <v>129</v>
      </c>
      <c r="C33">
        <v>774</v>
      </c>
    </row>
    <row r="34" spans="1:3" x14ac:dyDescent="0.2">
      <c r="A34">
        <v>84</v>
      </c>
      <c r="B34">
        <v>56</v>
      </c>
      <c r="C34">
        <v>224</v>
      </c>
    </row>
    <row r="35" spans="1:3" x14ac:dyDescent="0.2">
      <c r="A35">
        <v>646.25</v>
      </c>
      <c r="B35">
        <v>235</v>
      </c>
      <c r="C35">
        <v>1410</v>
      </c>
    </row>
    <row r="36" spans="1:3" x14ac:dyDescent="0.2">
      <c r="A36">
        <v>323.40000000000003</v>
      </c>
      <c r="B36">
        <v>147</v>
      </c>
      <c r="C36">
        <v>735</v>
      </c>
    </row>
    <row r="37" spans="1:3" x14ac:dyDescent="0.2">
      <c r="A37">
        <v>488</v>
      </c>
      <c r="B37">
        <v>244</v>
      </c>
      <c r="C37">
        <v>1220</v>
      </c>
    </row>
    <row r="38" spans="1:3" x14ac:dyDescent="0.2">
      <c r="A38">
        <v>264</v>
      </c>
      <c r="B38">
        <v>132</v>
      </c>
      <c r="C38">
        <v>660</v>
      </c>
    </row>
    <row r="39" spans="1:3" x14ac:dyDescent="0.2">
      <c r="A39">
        <v>40.5</v>
      </c>
      <c r="B39">
        <v>27</v>
      </c>
      <c r="C39">
        <v>108</v>
      </c>
    </row>
    <row r="40" spans="1:3" x14ac:dyDescent="0.2">
      <c r="A40">
        <v>462</v>
      </c>
      <c r="B40">
        <v>168</v>
      </c>
      <c r="C40">
        <v>1008</v>
      </c>
    </row>
    <row r="41" spans="1:3" x14ac:dyDescent="0.2">
      <c r="A41">
        <v>302</v>
      </c>
      <c r="B41">
        <v>151</v>
      </c>
      <c r="C41">
        <v>755</v>
      </c>
    </row>
    <row r="42" spans="1:3" x14ac:dyDescent="0.2">
      <c r="A42">
        <v>503.80000000000007</v>
      </c>
      <c r="B42">
        <v>229</v>
      </c>
      <c r="C42">
        <v>1145</v>
      </c>
    </row>
    <row r="43" spans="1:3" x14ac:dyDescent="0.2">
      <c r="A43">
        <v>98</v>
      </c>
      <c r="B43">
        <v>196</v>
      </c>
      <c r="C43">
        <v>196</v>
      </c>
    </row>
    <row r="44" spans="1:3" x14ac:dyDescent="0.2">
      <c r="A44">
        <v>400</v>
      </c>
      <c r="B44">
        <v>200</v>
      </c>
      <c r="C44">
        <v>1000</v>
      </c>
    </row>
    <row r="45" spans="1:3" x14ac:dyDescent="0.2">
      <c r="A45">
        <v>272</v>
      </c>
      <c r="B45">
        <v>136</v>
      </c>
      <c r="C45">
        <v>680</v>
      </c>
    </row>
    <row r="46" spans="1:3" x14ac:dyDescent="0.2">
      <c r="A46">
        <v>306.25</v>
      </c>
      <c r="B46">
        <v>245</v>
      </c>
      <c r="C46">
        <v>735</v>
      </c>
    </row>
    <row r="47" spans="1:3" x14ac:dyDescent="0.2">
      <c r="A47">
        <v>96.5</v>
      </c>
      <c r="B47">
        <v>193</v>
      </c>
      <c r="C47">
        <v>193</v>
      </c>
    </row>
    <row r="48" spans="1:3" x14ac:dyDescent="0.2">
      <c r="A48">
        <v>337.5</v>
      </c>
      <c r="B48">
        <v>225</v>
      </c>
      <c r="C48">
        <v>900</v>
      </c>
    </row>
    <row r="49" spans="1:3" x14ac:dyDescent="0.2">
      <c r="A49">
        <v>402</v>
      </c>
      <c r="B49">
        <v>201</v>
      </c>
      <c r="C49">
        <v>1005</v>
      </c>
    </row>
    <row r="50" spans="1:3" x14ac:dyDescent="0.2">
      <c r="A50">
        <v>96.5</v>
      </c>
      <c r="B50">
        <v>193</v>
      </c>
      <c r="C50">
        <v>193</v>
      </c>
    </row>
    <row r="51" spans="1:3" x14ac:dyDescent="0.2">
      <c r="A51">
        <v>525.80000000000007</v>
      </c>
      <c r="B51">
        <v>239</v>
      </c>
      <c r="C51">
        <v>1195</v>
      </c>
    </row>
    <row r="52" spans="1:3" x14ac:dyDescent="0.2">
      <c r="A52">
        <v>60</v>
      </c>
      <c r="B52">
        <v>48</v>
      </c>
      <c r="C52">
        <v>144</v>
      </c>
    </row>
    <row r="53" spans="1:3" x14ac:dyDescent="0.2">
      <c r="A53">
        <v>239.8</v>
      </c>
      <c r="B53">
        <v>109</v>
      </c>
      <c r="C53">
        <v>545</v>
      </c>
    </row>
    <row r="54" spans="1:3" x14ac:dyDescent="0.2">
      <c r="A54">
        <v>49.5</v>
      </c>
      <c r="B54">
        <v>99</v>
      </c>
      <c r="C54">
        <v>99</v>
      </c>
    </row>
    <row r="55" spans="1:3" x14ac:dyDescent="0.2">
      <c r="A55">
        <v>122</v>
      </c>
      <c r="B55">
        <v>61</v>
      </c>
      <c r="C55">
        <v>305</v>
      </c>
    </row>
    <row r="56" spans="1:3" x14ac:dyDescent="0.2">
      <c r="A56">
        <v>248.75</v>
      </c>
      <c r="B56">
        <v>199</v>
      </c>
      <c r="C56">
        <v>597</v>
      </c>
    </row>
    <row r="57" spans="1:3" x14ac:dyDescent="0.2">
      <c r="A57">
        <v>138.60000000000002</v>
      </c>
      <c r="B57">
        <v>63</v>
      </c>
      <c r="C57">
        <v>315</v>
      </c>
    </row>
    <row r="58" spans="1:3" x14ac:dyDescent="0.2">
      <c r="A58">
        <v>152.5</v>
      </c>
      <c r="B58">
        <v>122</v>
      </c>
      <c r="C58">
        <v>366</v>
      </c>
    </row>
    <row r="59" spans="1:3" x14ac:dyDescent="0.2">
      <c r="A59">
        <v>588.5</v>
      </c>
      <c r="B59">
        <v>214</v>
      </c>
      <c r="C59">
        <v>1284</v>
      </c>
    </row>
    <row r="60" spans="1:3" x14ac:dyDescent="0.2">
      <c r="A60">
        <v>89.5</v>
      </c>
      <c r="B60">
        <v>179</v>
      </c>
      <c r="C60">
        <v>179</v>
      </c>
    </row>
    <row r="61" spans="1:3" x14ac:dyDescent="0.2">
      <c r="A61">
        <v>85.5</v>
      </c>
      <c r="B61">
        <v>171</v>
      </c>
      <c r="C61">
        <v>171</v>
      </c>
    </row>
    <row r="62" spans="1:3" x14ac:dyDescent="0.2">
      <c r="A62">
        <v>358</v>
      </c>
      <c r="B62">
        <v>179</v>
      </c>
      <c r="C62">
        <v>895</v>
      </c>
    </row>
    <row r="63" spans="1:3" x14ac:dyDescent="0.2">
      <c r="A63">
        <v>181.5</v>
      </c>
      <c r="B63">
        <v>66</v>
      </c>
      <c r="C63">
        <v>396</v>
      </c>
    </row>
    <row r="64" spans="1:3" x14ac:dyDescent="0.2">
      <c r="A64">
        <v>252.5</v>
      </c>
      <c r="B64">
        <v>202</v>
      </c>
      <c r="C64">
        <v>606</v>
      </c>
    </row>
    <row r="65" spans="1:3" x14ac:dyDescent="0.2">
      <c r="A65">
        <v>226.60000000000002</v>
      </c>
      <c r="B65">
        <v>103</v>
      </c>
      <c r="C65">
        <v>515</v>
      </c>
    </row>
    <row r="66" spans="1:3" x14ac:dyDescent="0.2">
      <c r="A66">
        <v>475.75</v>
      </c>
      <c r="B66">
        <v>173</v>
      </c>
      <c r="C66">
        <v>1038</v>
      </c>
    </row>
    <row r="67" spans="1:3" x14ac:dyDescent="0.2">
      <c r="A67">
        <v>77.5</v>
      </c>
      <c r="B67">
        <v>155</v>
      </c>
      <c r="C67">
        <v>155</v>
      </c>
    </row>
    <row r="68" spans="1:3" x14ac:dyDescent="0.2">
      <c r="A68">
        <v>298.75</v>
      </c>
      <c r="B68">
        <v>239</v>
      </c>
      <c r="C68">
        <v>717</v>
      </c>
    </row>
    <row r="69" spans="1:3" x14ac:dyDescent="0.2">
      <c r="A69">
        <v>30</v>
      </c>
      <c r="B69">
        <v>20</v>
      </c>
      <c r="C69">
        <v>80</v>
      </c>
    </row>
    <row r="70" spans="1:3" x14ac:dyDescent="0.2">
      <c r="A70">
        <v>396</v>
      </c>
      <c r="B70">
        <v>144</v>
      </c>
      <c r="C70">
        <v>864</v>
      </c>
    </row>
    <row r="71" spans="1:3" x14ac:dyDescent="0.2">
      <c r="A71">
        <v>252</v>
      </c>
      <c r="B71">
        <v>168</v>
      </c>
      <c r="C71">
        <v>672</v>
      </c>
    </row>
    <row r="72" spans="1:3" x14ac:dyDescent="0.2">
      <c r="A72">
        <v>280</v>
      </c>
      <c r="B72">
        <v>224</v>
      </c>
      <c r="C72">
        <v>672</v>
      </c>
    </row>
    <row r="73" spans="1:3" x14ac:dyDescent="0.2">
      <c r="A73">
        <v>198</v>
      </c>
      <c r="B73">
        <v>132</v>
      </c>
      <c r="C73">
        <v>528</v>
      </c>
    </row>
    <row r="74" spans="1:3" x14ac:dyDescent="0.2">
      <c r="A74">
        <v>123.75</v>
      </c>
      <c r="B74">
        <v>45</v>
      </c>
      <c r="C74">
        <v>270</v>
      </c>
    </row>
    <row r="75" spans="1:3" x14ac:dyDescent="0.2">
      <c r="A75">
        <v>13.75</v>
      </c>
      <c r="B75">
        <v>11</v>
      </c>
      <c r="C75">
        <v>33</v>
      </c>
    </row>
    <row r="76" spans="1:3" x14ac:dyDescent="0.2">
      <c r="A76">
        <v>92</v>
      </c>
      <c r="B76">
        <v>46</v>
      </c>
      <c r="C76">
        <v>230</v>
      </c>
    </row>
    <row r="77" spans="1:3" x14ac:dyDescent="0.2">
      <c r="A77">
        <v>140.25</v>
      </c>
      <c r="B77">
        <v>51</v>
      </c>
      <c r="C77">
        <v>306</v>
      </c>
    </row>
    <row r="78" spans="1:3" x14ac:dyDescent="0.2">
      <c r="A78">
        <v>428</v>
      </c>
      <c r="B78">
        <v>214</v>
      </c>
      <c r="C78">
        <v>1070</v>
      </c>
    </row>
    <row r="79" spans="1:3" x14ac:dyDescent="0.2">
      <c r="A79">
        <v>52.800000000000004</v>
      </c>
      <c r="B79">
        <v>24</v>
      </c>
      <c r="C79">
        <v>120</v>
      </c>
    </row>
    <row r="80" spans="1:3" x14ac:dyDescent="0.2">
      <c r="A80">
        <v>181.5</v>
      </c>
      <c r="B80">
        <v>66</v>
      </c>
      <c r="C80">
        <v>396</v>
      </c>
    </row>
    <row r="81" spans="1:3" x14ac:dyDescent="0.2">
      <c r="A81">
        <v>105</v>
      </c>
      <c r="B81">
        <v>210</v>
      </c>
      <c r="C81">
        <v>210</v>
      </c>
    </row>
    <row r="82" spans="1:3" x14ac:dyDescent="0.2">
      <c r="A82">
        <v>19.5</v>
      </c>
      <c r="B82">
        <v>39</v>
      </c>
      <c r="C82">
        <v>39</v>
      </c>
    </row>
    <row r="83" spans="1:3" x14ac:dyDescent="0.2">
      <c r="A83">
        <v>402.6</v>
      </c>
      <c r="B83">
        <v>183</v>
      </c>
      <c r="C83">
        <v>915</v>
      </c>
    </row>
    <row r="84" spans="1:3" x14ac:dyDescent="0.2">
      <c r="A84">
        <v>70.5</v>
      </c>
      <c r="B84">
        <v>141</v>
      </c>
      <c r="C84">
        <v>141</v>
      </c>
    </row>
    <row r="85" spans="1:3" x14ac:dyDescent="0.2">
      <c r="A85">
        <v>301.25</v>
      </c>
      <c r="B85">
        <v>241</v>
      </c>
      <c r="C85">
        <v>723</v>
      </c>
    </row>
    <row r="86" spans="1:3" x14ac:dyDescent="0.2">
      <c r="A86">
        <v>387.20000000000005</v>
      </c>
      <c r="B86">
        <v>176</v>
      </c>
      <c r="C86">
        <v>880</v>
      </c>
    </row>
    <row r="87" spans="1:3" x14ac:dyDescent="0.2">
      <c r="A87">
        <v>119.5</v>
      </c>
      <c r="B87">
        <v>239</v>
      </c>
      <c r="C87">
        <v>239</v>
      </c>
    </row>
    <row r="88" spans="1:3" x14ac:dyDescent="0.2">
      <c r="A88">
        <v>92.4</v>
      </c>
      <c r="B88">
        <v>42</v>
      </c>
      <c r="C88">
        <v>210</v>
      </c>
    </row>
    <row r="89" spans="1:3" x14ac:dyDescent="0.2">
      <c r="A89">
        <v>249</v>
      </c>
      <c r="B89">
        <v>166</v>
      </c>
      <c r="C89">
        <v>664</v>
      </c>
    </row>
    <row r="90" spans="1:3" x14ac:dyDescent="0.2">
      <c r="A90">
        <v>462</v>
      </c>
      <c r="B90">
        <v>168</v>
      </c>
      <c r="C90">
        <v>1008</v>
      </c>
    </row>
    <row r="91" spans="1:3" x14ac:dyDescent="0.2">
      <c r="A91">
        <v>201</v>
      </c>
      <c r="B91">
        <v>134</v>
      </c>
      <c r="C91">
        <v>536</v>
      </c>
    </row>
    <row r="92" spans="1:3" x14ac:dyDescent="0.2">
      <c r="A92">
        <v>215</v>
      </c>
      <c r="B92">
        <v>172</v>
      </c>
      <c r="C92">
        <v>516</v>
      </c>
    </row>
    <row r="93" spans="1:3" x14ac:dyDescent="0.2">
      <c r="A93">
        <v>232</v>
      </c>
      <c r="B93">
        <v>116</v>
      </c>
      <c r="C93">
        <v>580</v>
      </c>
    </row>
    <row r="94" spans="1:3" x14ac:dyDescent="0.2">
      <c r="A94">
        <v>190.5</v>
      </c>
      <c r="B94">
        <v>127</v>
      </c>
      <c r="C94">
        <v>508</v>
      </c>
    </row>
    <row r="95" spans="1:3" x14ac:dyDescent="0.2">
      <c r="A95">
        <v>126.25</v>
      </c>
      <c r="B95">
        <v>101</v>
      </c>
      <c r="C95">
        <v>303</v>
      </c>
    </row>
    <row r="96" spans="1:3" x14ac:dyDescent="0.2">
      <c r="A96">
        <v>288.20000000000005</v>
      </c>
      <c r="B96">
        <v>131</v>
      </c>
      <c r="C96">
        <v>655</v>
      </c>
    </row>
    <row r="97" spans="1:7" x14ac:dyDescent="0.2">
      <c r="A97">
        <v>82.5</v>
      </c>
      <c r="B97">
        <v>30</v>
      </c>
      <c r="C97">
        <v>180</v>
      </c>
    </row>
    <row r="98" spans="1:7" x14ac:dyDescent="0.2">
      <c r="A98">
        <v>458</v>
      </c>
      <c r="B98">
        <v>229</v>
      </c>
      <c r="C98">
        <v>1145</v>
      </c>
    </row>
    <row r="99" spans="1:7" x14ac:dyDescent="0.2">
      <c r="A99">
        <v>80</v>
      </c>
      <c r="B99">
        <v>160</v>
      </c>
      <c r="C99">
        <v>160</v>
      </c>
    </row>
    <row r="100" spans="1:7" x14ac:dyDescent="0.2">
      <c r="A100">
        <v>37.5</v>
      </c>
      <c r="B100">
        <v>30</v>
      </c>
      <c r="C100">
        <v>90</v>
      </c>
    </row>
    <row r="101" spans="1:7" x14ac:dyDescent="0.2">
      <c r="A101">
        <v>184.8</v>
      </c>
      <c r="B101">
        <v>84</v>
      </c>
      <c r="C101">
        <v>420</v>
      </c>
      <c r="E101" s="40"/>
      <c r="F101" s="40"/>
      <c r="G101" s="40"/>
    </row>
    <row r="102" spans="1:7" x14ac:dyDescent="0.2">
      <c r="A102">
        <v>73.5</v>
      </c>
      <c r="B102">
        <v>49</v>
      </c>
      <c r="C102">
        <v>196</v>
      </c>
    </row>
    <row r="103" spans="1:7" x14ac:dyDescent="0.2">
      <c r="A103">
        <v>352</v>
      </c>
      <c r="B103">
        <v>128</v>
      </c>
      <c r="C103">
        <v>768</v>
      </c>
    </row>
    <row r="104" spans="1:7" x14ac:dyDescent="0.2">
      <c r="A104">
        <v>57</v>
      </c>
      <c r="B104">
        <v>114</v>
      </c>
      <c r="C104">
        <v>114</v>
      </c>
    </row>
    <row r="105" spans="1:7" x14ac:dyDescent="0.2">
      <c r="A105">
        <v>132.5</v>
      </c>
      <c r="B105">
        <v>106</v>
      </c>
      <c r="C105">
        <v>318</v>
      </c>
    </row>
    <row r="106" spans="1:7" x14ac:dyDescent="0.2">
      <c r="A106">
        <v>489.5</v>
      </c>
      <c r="B106">
        <v>178</v>
      </c>
      <c r="C106">
        <v>1068</v>
      </c>
    </row>
    <row r="107" spans="1:7" x14ac:dyDescent="0.2">
      <c r="A107">
        <v>79.2</v>
      </c>
      <c r="B107">
        <v>36</v>
      </c>
      <c r="C107">
        <v>180</v>
      </c>
    </row>
    <row r="108" spans="1:7" x14ac:dyDescent="0.2">
      <c r="A108">
        <v>279</v>
      </c>
      <c r="B108">
        <v>186</v>
      </c>
      <c r="C108">
        <v>744</v>
      </c>
    </row>
    <row r="109" spans="1:7" x14ac:dyDescent="0.2">
      <c r="A109">
        <v>178.75</v>
      </c>
      <c r="B109">
        <v>65</v>
      </c>
      <c r="C109">
        <v>390</v>
      </c>
    </row>
    <row r="110" spans="1:7" x14ac:dyDescent="0.2">
      <c r="A110">
        <v>352.5</v>
      </c>
      <c r="B110">
        <v>235</v>
      </c>
      <c r="C110">
        <v>940</v>
      </c>
    </row>
    <row r="111" spans="1:7" x14ac:dyDescent="0.2">
      <c r="A111">
        <v>26.5</v>
      </c>
      <c r="B111">
        <v>53</v>
      </c>
      <c r="C111">
        <v>53</v>
      </c>
    </row>
    <row r="112" spans="1:7" x14ac:dyDescent="0.2">
      <c r="A112">
        <v>37</v>
      </c>
      <c r="B112">
        <v>74</v>
      </c>
      <c r="C112">
        <v>74</v>
      </c>
    </row>
    <row r="113" spans="1:3" x14ac:dyDescent="0.2">
      <c r="A113">
        <v>120</v>
      </c>
      <c r="B113">
        <v>80</v>
      </c>
      <c r="C113">
        <v>320</v>
      </c>
    </row>
    <row r="114" spans="1:3" x14ac:dyDescent="0.2">
      <c r="A114">
        <v>117.5</v>
      </c>
      <c r="B114">
        <v>94</v>
      </c>
      <c r="C114">
        <v>282</v>
      </c>
    </row>
    <row r="115" spans="1:3" x14ac:dyDescent="0.2">
      <c r="A115">
        <v>211.20000000000002</v>
      </c>
      <c r="B115">
        <v>96</v>
      </c>
      <c r="C115">
        <v>480</v>
      </c>
    </row>
    <row r="116" spans="1:3" x14ac:dyDescent="0.2">
      <c r="A116">
        <v>46.75</v>
      </c>
      <c r="B116">
        <v>17</v>
      </c>
      <c r="C116">
        <v>102</v>
      </c>
    </row>
    <row r="117" spans="1:3" x14ac:dyDescent="0.2">
      <c r="A117">
        <v>39.5</v>
      </c>
      <c r="B117">
        <v>79</v>
      </c>
      <c r="C117">
        <v>79</v>
      </c>
    </row>
    <row r="118" spans="1:3" x14ac:dyDescent="0.2">
      <c r="A118">
        <v>281.60000000000002</v>
      </c>
      <c r="B118">
        <v>128</v>
      </c>
      <c r="C118">
        <v>640</v>
      </c>
    </row>
    <row r="119" spans="1:3" x14ac:dyDescent="0.2">
      <c r="A119">
        <v>186</v>
      </c>
      <c r="B119">
        <v>93</v>
      </c>
      <c r="C119">
        <v>465</v>
      </c>
    </row>
    <row r="120" spans="1:3" x14ac:dyDescent="0.2">
      <c r="A120">
        <v>183</v>
      </c>
      <c r="B120">
        <v>122</v>
      </c>
      <c r="C120">
        <v>488</v>
      </c>
    </row>
    <row r="121" spans="1:3" x14ac:dyDescent="0.2">
      <c r="A121">
        <v>574.75</v>
      </c>
      <c r="B121">
        <v>209</v>
      </c>
      <c r="C121">
        <v>1254</v>
      </c>
    </row>
    <row r="122" spans="1:3" x14ac:dyDescent="0.2">
      <c r="A122">
        <v>141.25</v>
      </c>
      <c r="B122">
        <v>113</v>
      </c>
      <c r="C122">
        <v>339</v>
      </c>
    </row>
    <row r="123" spans="1:3" x14ac:dyDescent="0.2">
      <c r="A123">
        <v>74.800000000000011</v>
      </c>
      <c r="B123">
        <v>34</v>
      </c>
      <c r="C123">
        <v>170</v>
      </c>
    </row>
    <row r="124" spans="1:3" x14ac:dyDescent="0.2">
      <c r="A124">
        <v>246</v>
      </c>
      <c r="B124">
        <v>164</v>
      </c>
      <c r="C124">
        <v>656</v>
      </c>
    </row>
    <row r="125" spans="1:3" x14ac:dyDescent="0.2">
      <c r="A125">
        <v>21</v>
      </c>
      <c r="B125">
        <v>14</v>
      </c>
      <c r="C125">
        <v>56</v>
      </c>
    </row>
    <row r="126" spans="1:3" x14ac:dyDescent="0.2">
      <c r="A126">
        <v>475.75</v>
      </c>
      <c r="B126">
        <v>173</v>
      </c>
      <c r="C126">
        <v>1038</v>
      </c>
    </row>
    <row r="127" spans="1:3" x14ac:dyDescent="0.2">
      <c r="A127">
        <v>96</v>
      </c>
      <c r="B127">
        <v>48</v>
      </c>
      <c r="C127">
        <v>240</v>
      </c>
    </row>
    <row r="128" spans="1:3" x14ac:dyDescent="0.2">
      <c r="A128">
        <v>275</v>
      </c>
      <c r="B128">
        <v>125</v>
      </c>
      <c r="C128">
        <v>625</v>
      </c>
    </row>
    <row r="129" spans="1:3" x14ac:dyDescent="0.2">
      <c r="A129">
        <v>418</v>
      </c>
      <c r="B129">
        <v>209</v>
      </c>
      <c r="C129">
        <v>1045</v>
      </c>
    </row>
    <row r="130" spans="1:3" x14ac:dyDescent="0.2">
      <c r="A130">
        <v>511.5</v>
      </c>
      <c r="B130">
        <v>186</v>
      </c>
      <c r="C130">
        <v>1116</v>
      </c>
    </row>
    <row r="131" spans="1:3" x14ac:dyDescent="0.2">
      <c r="A131">
        <v>27</v>
      </c>
      <c r="B131">
        <v>18</v>
      </c>
      <c r="C131">
        <v>72</v>
      </c>
    </row>
    <row r="132" spans="1:3" x14ac:dyDescent="0.2">
      <c r="A132">
        <v>275</v>
      </c>
      <c r="B132">
        <v>220</v>
      </c>
      <c r="C132">
        <v>660</v>
      </c>
    </row>
    <row r="133" spans="1:3" x14ac:dyDescent="0.2">
      <c r="A133">
        <v>88.5</v>
      </c>
      <c r="B133">
        <v>177</v>
      </c>
      <c r="C133">
        <v>177</v>
      </c>
    </row>
    <row r="134" spans="1:3" x14ac:dyDescent="0.2">
      <c r="A134">
        <v>99</v>
      </c>
      <c r="B134">
        <v>66</v>
      </c>
      <c r="C134">
        <v>264</v>
      </c>
    </row>
    <row r="135" spans="1:3" x14ac:dyDescent="0.2">
      <c r="A135">
        <v>86.25</v>
      </c>
      <c r="B135">
        <v>69</v>
      </c>
      <c r="C135">
        <v>207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D635-EDA5-A140-9D8D-910B751C3ED1}">
  <dimension ref="A1"/>
  <sheetViews>
    <sheetView workbookViewId="0">
      <selection activeCell="K21" sqref="K21"/>
    </sheetView>
  </sheetViews>
  <sheetFormatPr baseColWidth="10" defaultRowHeight="15" x14ac:dyDescent="0.2"/>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245A-E0FE-48B8-A6EE-08E214FD3A8D}">
  <dimension ref="A1"/>
  <sheetViews>
    <sheetView zoomScale="125" zoomScaleNormal="125" workbookViewId="0">
      <selection activeCell="O7" sqref="O7"/>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Sales_Original</vt:lpstr>
      <vt:lpstr>Sales</vt:lpstr>
      <vt:lpstr>Notes on errors</vt:lpstr>
      <vt:lpstr>Hypothesis</vt:lpstr>
      <vt:lpstr>Profit Per Customer Type</vt:lpstr>
      <vt:lpstr>Pivot Table Analysis</vt:lpstr>
      <vt:lpstr>Descriptive Analysis</vt:lpstr>
      <vt:lpstr>Correlation Analysis</vt:lpstr>
      <vt:lpstr>Key Findings</vt:lpstr>
      <vt:lpstr>Objectives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Anila Khan</dc:creator>
  <cp:keywords/>
  <dc:description/>
  <cp:lastModifiedBy>esra ERTAS</cp:lastModifiedBy>
  <cp:revision/>
  <dcterms:created xsi:type="dcterms:W3CDTF">2024-03-01T22:34:29Z</dcterms:created>
  <dcterms:modified xsi:type="dcterms:W3CDTF">2024-03-12T19:53:44Z</dcterms:modified>
  <cp:category/>
  <cp:contentStatus/>
</cp:coreProperties>
</file>